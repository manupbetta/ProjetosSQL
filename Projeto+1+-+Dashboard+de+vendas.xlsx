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manup\Downloads\"/>
    </mc:Choice>
  </mc:AlternateContent>
  <xr:revisionPtr revIDLastSave="0" documentId="13_ncr:1_{B10640FF-7DF6-4182-A827-FAC5617E7A8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shboard" sheetId="2" r:id="rId1"/>
    <sheet name="Resultados" sheetId="3" r:id="rId2"/>
    <sheet name="Queries" sheetId="4" r:id="rId3"/>
  </sheets>
  <definedNames>
    <definedName name="_xlnm._FilterDatabase" localSheetId="0" hidden="1">Resultados!$M$3:$N$3</definedName>
    <definedName name="_xlchart.v5.0" hidden="1">Resultados!$I$3:$J$3</definedName>
    <definedName name="_xlchart.v5.1" hidden="1">Resultados!$I$4:$J$8</definedName>
    <definedName name="_xlchart.v5.2" hidden="1">Resultados!$K$3</definedName>
    <definedName name="_xlchart.v5.3" hidden="1">Resultados!$K$4:$K$8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9" i="3" l="1"/>
  <c r="E29" i="3" l="1"/>
  <c r="F29" i="3" l="1"/>
  <c r="G29" i="3" l="1"/>
  <c r="H29" i="3" l="1"/>
  <c r="I29" i="3" l="1"/>
  <c r="J29" i="3" l="1"/>
  <c r="K29" i="3" l="1"/>
  <c r="L29" i="3" l="1"/>
  <c r="M29" i="3" l="1"/>
  <c r="N29" i="3" l="1"/>
</calcChain>
</file>

<file path=xl/sharedStrings.xml><?xml version="1.0" encoding="utf-8"?>
<sst xmlns="http://schemas.openxmlformats.org/spreadsheetml/2006/main" count="48" uniqueCount="41">
  <si>
    <t>mês</t>
  </si>
  <si>
    <t>leads (#)</t>
  </si>
  <si>
    <t>vendas (#)</t>
  </si>
  <si>
    <t>receita (k, R$)</t>
  </si>
  <si>
    <t>conversão (%)</t>
  </si>
  <si>
    <t>ticket médio (k, R$)</t>
  </si>
  <si>
    <t>estado</t>
  </si>
  <si>
    <t>país</t>
  </si>
  <si>
    <t>marca</t>
  </si>
  <si>
    <t>loja</t>
  </si>
  <si>
    <t>dia_semana</t>
  </si>
  <si>
    <t>dia da semana</t>
  </si>
  <si>
    <t>visitas (#)</t>
  </si>
  <si>
    <t>1 - Receita, leads, conversão e ticket médio mês a mês</t>
  </si>
  <si>
    <t>2- Estados que mais venderam</t>
  </si>
  <si>
    <t>3 - Marcas que mais venderam no mês</t>
  </si>
  <si>
    <t>4 - Lojas que mais venderam</t>
  </si>
  <si>
    <t>5 - Dias da semana com maior número de visitas ao site</t>
  </si>
  <si>
    <t>Brasil</t>
  </si>
  <si>
    <t>São Paulo</t>
  </si>
  <si>
    <t>Minas Gerais</t>
  </si>
  <si>
    <t>Santa Catarina</t>
  </si>
  <si>
    <t>Rio Grande do Sul</t>
  </si>
  <si>
    <t>Rio de Janeiro</t>
  </si>
  <si>
    <t>FIAT</t>
  </si>
  <si>
    <t>CHEVROLET</t>
  </si>
  <si>
    <t>VOLKSWAGEN</t>
  </si>
  <si>
    <t>FORD</t>
  </si>
  <si>
    <t>RENAULT</t>
  </si>
  <si>
    <t>KIYOKO CILEIDI JERY LTDA</t>
  </si>
  <si>
    <t>CLAUDINEO JOZENAIDE LUYANE LTDA</t>
  </si>
  <si>
    <t>ADO JUBERTH VALTUIDES LTDA</t>
  </si>
  <si>
    <t>GERRIVALDO ROSIELEN VALTEIDE LTDA</t>
  </si>
  <si>
    <t>NILFA CID SILVANDRO LTDA</t>
  </si>
  <si>
    <t>domingo</t>
  </si>
  <si>
    <t>segunda</t>
  </si>
  <si>
    <t>terça</t>
  </si>
  <si>
    <t>quarta</t>
  </si>
  <si>
    <t>quinta</t>
  </si>
  <si>
    <t>sexta</t>
  </si>
  <si>
    <t>sábado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</si>
</sst>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[$-416]mmm\-yy;@"/>
  </numFmts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9" fontId="0" fillId="2" borderId="0" xfId="0" applyNumberFormat="1" applyFill="1"/>
    <xf numFmtId="9" fontId="0" fillId="0" borderId="0" xfId="0" applyNumberFormat="1"/>
    <xf numFmtId="164" fontId="0" fillId="2" borderId="0" xfId="0" applyNumberFormat="1" applyFill="1"/>
    <xf numFmtId="164" fontId="0" fillId="0" borderId="0" xfId="0" applyNumberFormat="1"/>
    <xf numFmtId="3" fontId="0" fillId="2" borderId="0" xfId="0" applyNumberFormat="1" applyFill="1"/>
    <xf numFmtId="3" fontId="0" fillId="0" borderId="0" xfId="0" applyNumberFormat="1"/>
    <xf numFmtId="165" fontId="0" fillId="2" borderId="0" xfId="0" applyNumberFormat="1" applyFill="1"/>
    <xf numFmtId="165" fontId="0" fillId="0" borderId="0" xfId="0" applyNumberFormat="1"/>
    <xf numFmtId="17" fontId="1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BE00"/>
      <color rgb="FF404040"/>
      <color rgb="FFC89400"/>
      <color rgb="FF1C819E"/>
      <color rgb="FF176C83"/>
      <color rgb="FFBFBFBF"/>
      <color rgb="FFA6A6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964838790962708E-2"/>
          <c:y val="0.19366649151933321"/>
          <c:w val="0.86520753223694313"/>
          <c:h val="0.638861410766545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Resultados!$C$3</c:f>
              <c:strCache>
                <c:ptCount val="1"/>
                <c:pt idx="0">
                  <c:v>leads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Resultados!$C$4:$C$15</c:f>
              <c:numCache>
                <c:formatCode>#,##0</c:formatCode>
                <c:ptCount val="12"/>
                <c:pt idx="0">
                  <c:v>26</c:v>
                </c:pt>
                <c:pt idx="1">
                  <c:v>931</c:v>
                </c:pt>
                <c:pt idx="2">
                  <c:v>1207</c:v>
                </c:pt>
                <c:pt idx="3">
                  <c:v>1008</c:v>
                </c:pt>
                <c:pt idx="4">
                  <c:v>1058</c:v>
                </c:pt>
                <c:pt idx="5">
                  <c:v>1300</c:v>
                </c:pt>
                <c:pt idx="6">
                  <c:v>1932</c:v>
                </c:pt>
                <c:pt idx="7">
                  <c:v>2376</c:v>
                </c:pt>
                <c:pt idx="8">
                  <c:v>3819</c:v>
                </c:pt>
                <c:pt idx="9">
                  <c:v>4440</c:v>
                </c:pt>
                <c:pt idx="10">
                  <c:v>6130</c:v>
                </c:pt>
                <c:pt idx="11">
                  <c:v>6353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1305806031"/>
        <c:axId val="1305802703"/>
      </c:barChart>
      <c:lineChart>
        <c:grouping val="standard"/>
        <c:varyColors val="0"/>
        <c:ser>
          <c:idx val="1"/>
          <c:order val="1"/>
          <c:tx>
            <c:strRef>
              <c:f>Resultados!$F$3</c:f>
              <c:strCache>
                <c:ptCount val="1"/>
                <c:pt idx="0">
                  <c:v>conversão (%)</c:v>
                </c:pt>
              </c:strCache>
            </c:strRef>
          </c:tx>
          <c:spPr>
            <a:ln w="28575" cap="rnd">
              <a:solidFill>
                <a:srgbClr val="FFBE00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Resultados!$F$4:$F$15</c:f>
              <c:numCache>
                <c:formatCode>0%</c:formatCode>
                <c:ptCount val="12"/>
                <c:pt idx="0">
                  <c:v>0.19</c:v>
                </c:pt>
                <c:pt idx="1">
                  <c:v>0.04</c:v>
                </c:pt>
                <c:pt idx="2">
                  <c:v>0.04</c:v>
                </c:pt>
                <c:pt idx="3">
                  <c:v>0.03</c:v>
                </c:pt>
                <c:pt idx="4">
                  <c:v>0.03</c:v>
                </c:pt>
                <c:pt idx="5">
                  <c:v>0.05</c:v>
                </c:pt>
                <c:pt idx="6">
                  <c:v>0.06</c:v>
                </c:pt>
                <c:pt idx="7">
                  <c:v>0.06</c:v>
                </c:pt>
                <c:pt idx="8">
                  <c:v>0.1</c:v>
                </c:pt>
                <c:pt idx="9">
                  <c:v>0.13</c:v>
                </c:pt>
                <c:pt idx="10">
                  <c:v>0.18</c:v>
                </c:pt>
                <c:pt idx="11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6420143"/>
        <c:axId val="1886418895"/>
      </c:lineChart>
      <c:dateAx>
        <c:axId val="1305806031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802703"/>
        <c:crosses val="autoZero"/>
        <c:auto val="1"/>
        <c:lblOffset val="100"/>
        <c:baseTimeUnit val="months"/>
      </c:dateAx>
      <c:valAx>
        <c:axId val="130580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806031"/>
        <c:crosses val="autoZero"/>
        <c:crossBetween val="between"/>
      </c:valAx>
      <c:valAx>
        <c:axId val="1886418895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420143"/>
        <c:crosses val="max"/>
        <c:crossBetween val="between"/>
      </c:valAx>
      <c:dateAx>
        <c:axId val="1886420143"/>
        <c:scaling>
          <c:orientation val="minMax"/>
        </c:scaling>
        <c:delete val="1"/>
        <c:axPos val="b"/>
        <c:numFmt formatCode="[$-416]mmm\-yy;@" sourceLinked="1"/>
        <c:majorTickMark val="out"/>
        <c:minorTickMark val="none"/>
        <c:tickLblPos val="nextTo"/>
        <c:crossAx val="188641889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i="0"/>
              <a:t>Receita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964838790962708E-2"/>
          <c:y val="0.19366649151933321"/>
          <c:w val="0.86520753223694313"/>
          <c:h val="0.638861410766545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Resultados!$E$3</c:f>
              <c:strCache>
                <c:ptCount val="1"/>
                <c:pt idx="0">
                  <c:v>receita (k, R$)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Resultados!$E$4:$E$15</c:f>
              <c:numCache>
                <c:formatCode>#,##0</c:formatCode>
                <c:ptCount val="12"/>
                <c:pt idx="0">
                  <c:v>259</c:v>
                </c:pt>
                <c:pt idx="1">
                  <c:v>1676</c:v>
                </c:pt>
                <c:pt idx="2">
                  <c:v>2278</c:v>
                </c:pt>
                <c:pt idx="3">
                  <c:v>2602</c:v>
                </c:pt>
                <c:pt idx="4">
                  <c:v>2297</c:v>
                </c:pt>
                <c:pt idx="5">
                  <c:v>3631</c:v>
                </c:pt>
                <c:pt idx="6">
                  <c:v>7911</c:v>
                </c:pt>
                <c:pt idx="7">
                  <c:v>7477</c:v>
                </c:pt>
                <c:pt idx="8">
                  <c:v>21508</c:v>
                </c:pt>
                <c:pt idx="9">
                  <c:v>33179</c:v>
                </c:pt>
                <c:pt idx="10">
                  <c:v>58987</c:v>
                </c:pt>
                <c:pt idx="11">
                  <c:v>68274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1305806031"/>
        <c:axId val="1305802703"/>
      </c:barChart>
      <c:lineChart>
        <c:grouping val="standard"/>
        <c:varyColors val="0"/>
        <c:ser>
          <c:idx val="1"/>
          <c:order val="1"/>
          <c:tx>
            <c:strRef>
              <c:f>Resultados!$G$3</c:f>
              <c:strCache>
                <c:ptCount val="1"/>
                <c:pt idx="0">
                  <c:v>ticket médio (k, R$)</c:v>
                </c:pt>
              </c:strCache>
            </c:strRef>
          </c:tx>
          <c:spPr>
            <a:ln w="28575" cap="rnd">
              <a:solidFill>
                <a:srgbClr val="FFBE00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Resultados!$G$4:$G$15</c:f>
              <c:numCache>
                <c:formatCode>#,##0.0</c:formatCode>
                <c:ptCount val="12"/>
                <c:pt idx="0">
                  <c:v>51.9</c:v>
                </c:pt>
                <c:pt idx="1">
                  <c:v>47.9</c:v>
                </c:pt>
                <c:pt idx="2">
                  <c:v>51.8</c:v>
                </c:pt>
                <c:pt idx="3">
                  <c:v>78.900000000000006</c:v>
                </c:pt>
                <c:pt idx="4">
                  <c:v>71.8</c:v>
                </c:pt>
                <c:pt idx="5">
                  <c:v>53.4</c:v>
                </c:pt>
                <c:pt idx="6">
                  <c:v>66.5</c:v>
                </c:pt>
                <c:pt idx="7">
                  <c:v>52.7</c:v>
                </c:pt>
                <c:pt idx="8">
                  <c:v>54.6</c:v>
                </c:pt>
                <c:pt idx="9">
                  <c:v>56.3</c:v>
                </c:pt>
                <c:pt idx="10">
                  <c:v>55</c:v>
                </c:pt>
                <c:pt idx="11">
                  <c:v>54.4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6420143"/>
        <c:axId val="1886418895"/>
      </c:lineChart>
      <c:dateAx>
        <c:axId val="1305806031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802703"/>
        <c:crosses val="autoZero"/>
        <c:auto val="1"/>
        <c:lblOffset val="100"/>
        <c:baseTimeUnit val="months"/>
      </c:dateAx>
      <c:valAx>
        <c:axId val="130580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806031"/>
        <c:crosses val="autoZero"/>
        <c:crossBetween val="between"/>
      </c:valAx>
      <c:valAx>
        <c:axId val="1886418895"/>
        <c:scaling>
          <c:orientation val="minMax"/>
        </c:scaling>
        <c:delete val="0"/>
        <c:axPos val="r"/>
        <c:numFmt formatCode="#,##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420143"/>
        <c:crosses val="max"/>
        <c:crossBetween val="between"/>
      </c:valAx>
      <c:dateAx>
        <c:axId val="1886420143"/>
        <c:scaling>
          <c:orientation val="minMax"/>
        </c:scaling>
        <c:delete val="1"/>
        <c:axPos val="b"/>
        <c:numFmt formatCode="[$-416]mmm\-yy;@" sourceLinked="1"/>
        <c:majorTickMark val="out"/>
        <c:minorTickMark val="none"/>
        <c:tickLblPos val="nextTo"/>
        <c:crossAx val="188641889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marcas mais vendidas no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Resultados!$N$3</c:f>
              <c:strCache>
                <c:ptCount val="1"/>
                <c:pt idx="0">
                  <c:v>vendas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Resultados!$M$4:$M$8</c:f>
              <c:strCache>
                <c:ptCount val="5"/>
                <c:pt idx="0">
                  <c:v>FIAT</c:v>
                </c:pt>
                <c:pt idx="1">
                  <c:v>CHEVROLET</c:v>
                </c:pt>
                <c:pt idx="2">
                  <c:v>VOLKSWAGEN</c:v>
                </c:pt>
                <c:pt idx="3">
                  <c:v>FORD</c:v>
                </c:pt>
                <c:pt idx="4">
                  <c:v>RENAULT</c:v>
                </c:pt>
              </c:strCache>
            </c:strRef>
          </c:cat>
          <c:val>
            <c:numRef>
              <c:f>Resultados!$N$4:$N$8</c:f>
              <c:numCache>
                <c:formatCode>General</c:formatCode>
                <c:ptCount val="5"/>
                <c:pt idx="0">
                  <c:v>248</c:v>
                </c:pt>
                <c:pt idx="1">
                  <c:v>237</c:v>
                </c:pt>
                <c:pt idx="2">
                  <c:v>193</c:v>
                </c:pt>
                <c:pt idx="3">
                  <c:v>136</c:v>
                </c:pt>
                <c:pt idx="4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6-4CC5-98DF-5CAE1CA2C8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928149903"/>
        <c:axId val="1928139087"/>
      </c:barChart>
      <c:catAx>
        <c:axId val="1928149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139087"/>
        <c:crosses val="autoZero"/>
        <c:auto val="1"/>
        <c:lblAlgn val="ctr"/>
        <c:lblOffset val="100"/>
        <c:noMultiLvlLbl val="0"/>
      </c:catAx>
      <c:valAx>
        <c:axId val="19281390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2814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lojas que mais venderam no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Resultados!$Q$3</c:f>
              <c:strCache>
                <c:ptCount val="1"/>
                <c:pt idx="0">
                  <c:v>vendas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Resultados!$P$4:$P$8</c:f>
              <c:strCache>
                <c:ptCount val="5"/>
                <c:pt idx="0">
                  <c:v>KIYOKO CILEIDI JERY LTDA</c:v>
                </c:pt>
                <c:pt idx="1">
                  <c:v>CLAUDINEO JOZENAIDE LUYANE LTDA</c:v>
                </c:pt>
                <c:pt idx="2">
                  <c:v>ADO JUBERTH VALTUIDES LTDA</c:v>
                </c:pt>
                <c:pt idx="3">
                  <c:v>GERRIVALDO ROSIELEN VALTEIDE LTDA</c:v>
                </c:pt>
                <c:pt idx="4">
                  <c:v>NILFA CID SILVANDRO LTDA</c:v>
                </c:pt>
              </c:strCache>
            </c:strRef>
          </c:cat>
          <c:val>
            <c:numRef>
              <c:f>Resultados!$Q$4:$Q$8</c:f>
              <c:numCache>
                <c:formatCode>General</c:formatCode>
                <c:ptCount val="5"/>
                <c:pt idx="0">
                  <c:v>18</c:v>
                </c:pt>
                <c:pt idx="1">
                  <c:v>15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6-4CC5-98DF-5CAE1CA2C8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928149903"/>
        <c:axId val="1928139087"/>
      </c:barChart>
      <c:catAx>
        <c:axId val="1928149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139087"/>
        <c:crosses val="autoZero"/>
        <c:auto val="1"/>
        <c:lblAlgn val="ctr"/>
        <c:lblOffset val="100"/>
        <c:noMultiLvlLbl val="0"/>
      </c:catAx>
      <c:valAx>
        <c:axId val="19281390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2814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Visitas</a:t>
            </a:r>
            <a:r>
              <a:rPr lang="en-US" baseline="0"/>
              <a:t> ao site por dia da semana no mês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Resultados!$U$3</c:f>
              <c:strCache>
                <c:ptCount val="1"/>
                <c:pt idx="0">
                  <c:v>visitas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Resultados!$T$4:$T$10</c:f>
              <c:strCache>
                <c:ptCount val="7"/>
                <c:pt idx="0">
                  <c:v>domingo</c:v>
                </c:pt>
                <c:pt idx="1">
                  <c:v>segunda</c:v>
                </c:pt>
                <c:pt idx="2">
                  <c:v>terça</c:v>
                </c:pt>
                <c:pt idx="3">
                  <c:v>quarta</c:v>
                </c:pt>
                <c:pt idx="4">
                  <c:v>quinta</c:v>
                </c:pt>
                <c:pt idx="5">
                  <c:v>sexta</c:v>
                </c:pt>
                <c:pt idx="6">
                  <c:v>sábado</c:v>
                </c:pt>
              </c:strCache>
            </c:strRef>
          </c:cat>
          <c:val>
            <c:numRef>
              <c:f>Resultados!$U$4:$U$10</c:f>
              <c:numCache>
                <c:formatCode>General</c:formatCode>
                <c:ptCount val="7"/>
                <c:pt idx="0">
                  <c:v>67</c:v>
                </c:pt>
                <c:pt idx="1">
                  <c:v>1301</c:v>
                </c:pt>
                <c:pt idx="2">
                  <c:v>1238</c:v>
                </c:pt>
                <c:pt idx="3">
                  <c:v>1038</c:v>
                </c:pt>
                <c:pt idx="4">
                  <c:v>1076</c:v>
                </c:pt>
                <c:pt idx="5">
                  <c:v>956</c:v>
                </c:pt>
                <c:pt idx="6">
                  <c:v>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6-4CC5-98DF-5CAE1CA2C8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928149903"/>
        <c:axId val="1928139087"/>
      </c:barChart>
      <c:catAx>
        <c:axId val="1928149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139087"/>
        <c:crosses val="autoZero"/>
        <c:auto val="1"/>
        <c:lblAlgn val="ctr"/>
        <c:lblOffset val="100"/>
        <c:noMultiLvlLbl val="0"/>
      </c:catAx>
      <c:valAx>
        <c:axId val="192813908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2814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txData>
          <cx:v>Estados que mais venderam no mês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Estados que mais venderam no mês</a:t>
          </a:r>
        </a:p>
      </cx:txPr>
    </cx:title>
    <cx:plotArea>
      <cx:plotAreaRegion>
        <cx:series layoutId="regionMap" uniqueId="{02A53EDD-DCFC-4A88-B213-71274D6215FF}">
          <cx:tx>
            <cx:txData>
              <cx:f>_xlchart.v5.2</cx:f>
              <cx:v>vendas (#)</cx:v>
            </cx:txData>
          </cx:tx>
          <cx:dataLabels>
            <cx:visibility seriesName="0" categoryName="0" value="1"/>
          </cx:dataLabels>
          <cx:dataId val="0"/>
          <cx:layoutPr>
            <cx:geography cultureLanguage="en-US" cultureRegion="BR" attribution="Powered by Bing">
              <cx:geoCache provider="{E9337A44-BEBE-4D9F-B70C-5C5E7DAFC167}">
                <cx:binary>3HzXctxI1uarKHS9UANpkMiJ6f8igbJkkaKRWuINgi0D7z1eZx9lX2w/UNOzVWBtYTgxe7E/O9Q0
qMLBcd+xWX//1v/tW/zjuXzXJ3Fa/e1b//t7v67zv/32W/XN/5E8Vx+S4FuZVdnP+sO3LPkt+/kz
+Pbjt+/lcxek3m9EN9hv3/znsv7Rv/+vv+Nu3o/sOvv2XAdZetf8KIf7H1UT19WFa2cvvfuWNWk9
vd3DnX5/r8rnKojfv3v+ngSpE1R1GXyrjd/fP/yv/5m9+/jcxNn7dz/SOqiHxyH/8fv7k9e9f/fb
nMirB3oX45nr5jveqxH6gVMqTWlZ+suX8f5dnKXeX9eZ+cEklmVauvz1Zf1F/OY5wQ3+tYd6eaTn
79/LH1UFvl6+n773hAlc+vj+jFjGSSxBldm/BGZnEwvq/oXn304V8l9/n/0BUpj95Uhnc5EtXTrz
bGdVdgjS5+rd5kf5HFR/ye0/oDRDfpCGZTJY5Hml0Q+SchOvob+u07+I/1Lav/pY59V2+u6Z4g6b
/xaKuw+yd5vyOf3+49337N1DA7v7j7kc1T/oVHIi4UrHrsaND8QwJcXFX1ojfxH9pbU3PdN51Z25
xUx/9w//LfT38JzWz+/s5/q5hAv+Jcf/gOsR8YFLacH18O3l61SJzPrAmWERnZ93vX/9wc5rcP7+
mfoe7P8W6pvsFK63f05/BOV/NNyRD1KfQp1BzquPfjCkKagkv1xQnyHnv/5g59U3f/9Mfff7/9/U
9xKSj6HxJJl5azZi6B/oy5cO7DvBRvrhl0aEeRYbkTMtPMl5ffz1vpOnfknB/h/mGv/3POSfqZoD
5Fq95HhHqcjlqy8MIiWdvfUkbp2w+Rcq7r7//p5C3v9MHKc7/ONtvyLPX1L6pee/Xv/juaqnDNL6
YDFhMsskuqlzZsr377ofL5cE8hCkIIRxKQxTIMt8/y7Nytr//T3/QEzJBdJOOJtuUFO8f1dlzXRJ
o/SD4IZh6Lowpc6IFP/Mtz9m8eBl6T8l8Y/f36VN8jEL0rrCnd+/y3+9anpQbhqSWhL0mSDUsJhE
gpt/e75HSo8XG/+Dal4aEq8cVMHrmNojaoJy0zQpy/beyMN6fSSZf4kcY9QyQIpQZhgEfB2TyzXh
NlHNemVE1cC/93FkjLFK3UBjDx6T5fjtMj32ij3GdSYscMgtxic5HtPTgzQqh7joVaHp6X0tqPlY
BGaINO2f+j7DFdNndASBegXljBpQs2lYUOUxHfzJ0AzfuLva3a5vt856rdT66rBeO876YOP3g4P/
O46ttvjJOVytd2qH1xwO+HXvOLi2dfa4ttrjR7x6vdvdOltcPeDNO7zUtne423qjcEvcfnrJOsP7
d4/r290Od1O4nVpNl9e7tf2El+ARlD39BT/jl5VS9tbegi5eizt+3Nzi9leOg1s94S+7lVqtcMcv
zkHtdo9qt7LxntVqZa9s255etsL7cb/pZvY1fjiAEzzR/UR+s7X3n1f76aWr/U6t7Bvbwc/gervJ
wLyNp1uvtte2vd4d1tOD4tk2eOe9/Yy7bvHS/c3DdvswiQmCmt7tHA6Jmsg+2PjzZZWRBY1J/VRj
SVhWTA+Nu8P69mm3fgRTK/vZ3u7thwVKhnlqg3PbmLtYXZUxqWEba+fuy5+3nrpVq683tq4W6NDp
iY9c+RUdgNaxDVZFlftiogMVfdnd30PPNuQNlWyvDs6VbV9dFqExYcMlgsgGjgm6Rl2EIwgenKdH
WAv0tECALoluUuIROlUkF24bgMLd1fpqMuj14eU/fL99WsM3bmGrh6fD+ulwWyg4zuHpCbpU1xsY
1u5+s9tsNqvN5lrdwML29tUW5vz1+vrFHK+VfbOFvuF5cAvHvruyFfxztb+zr65gffvtdoGdJW4m
LD7ihult64aQl/PFeYTfQGJLVs1ncP7KBqZHOCIxAslTDhJX66dbbwW3hLvfTg4Psd3ja6c2+Gny
ak+Bw/3PbW536qez3W5/duruYclE+ASwl2xkBsBJbdEwmYzydvd4u7Z/bneBWm/Wk9APa2Cc83CY
YBKKgSJWChhoT786t+tH53F3f3C+ZMC2jfpy9ecaNwArtxu1efzYQnwOUOR+t4Hdrfaw81ytbp5D
tX+Aqh2HKOcOBvEk1afVDZBk7aits7oDDu0PE8Bc1i2fbP0Sn6hejwUfZVpPDVgqAPugvgBzW4Xn
/rpZq/tfyAz2AKJXtnO1xkOsgLuXn4AaU4y59AizGDSKoRu6SdRfAO8HSOEw4drhwbl17KvdDmi9
fYK3AKyB+IgSm9WqALyu15A5Qs92igLOFyhn/eTsbm8B2LCb23tPqT9gRWvoBFFitYcXfgFq79UL
lu02u9vd/Y+dp37cTzf98/H2KVCPo/rTUzuAHXDo9h6//vgBawTmb+2bB2Asvt9tH1YP2582IH/7
oB4RRXqlPLWBq/5xfXPzx81+u/q022+/P9whUth3CAf2avXgqOdrBKLt3ZXzABdVq/3+Gpi930L0
DqT6ImZw/hPiRnAFRcSW7QFx+XBlb1c3cPWXF35+wJ8nUHhwru6+fIEh2t8XNHLZ35Ghn9qE5bmZ
JhBiECWv8A+2uzk4CHlwfWU7+19Bzl6wA0NetgM0Zk/JRq0QbQayoAlxHG7h/3C1ieoUvQsFL1J/
TrEecAm/2Cm8EOiwvp+iMhQNxeOne7xhp26QEKzx0/Te3W5zg+/bBwjN2dt3L4kNxLqeoiY86gae
u3tJF7b7PRxyMvX1ZIO36wlOfbWFCUH8QOu1Azy+mtTobL8ckOk421sH77msgCk6/B+HMKmFfNYi
hjBNYgqhi+n6ERi24yg9vUkrZRGtdYY6b21BWb26TOVUy/+gQpH+obEhCSEzz8/cKnctmlTKTUO5
chuNqzLt4yevHwsniKR2c5nea664juRft9DftBgKhFOuYmMUXPZWqZpSsnVgdf3aj1tDvZ0K5UII
C61UwvUZV0ZjBWGpu6UKmU/+0IMi2dV5Py4Y62vZ8anZxwWKEKTn87S5LGLdr4UsVR8xX9i+7LNG
RSXnjcrkkFXKKDr/8TJnpyFy0hc3dM6JpVuoo8hUSx9bhUxpkSftUKqsSMle1wrutFUUHvTGMhfY
O0MKlR/qHMnpFJpnQiR5omdJE4FU3Oaqlem4zoMmt6swidHruFSCnJGkySRjRECMApXhKVc8N1NL
S5NStUEV7pogNLcmyrdrllF525WZ2F6md8YKj+mJGbYNdTZmZgt6ZWqM+TYx3Fxbha0ZLNA5J0JO
DGlwAvYwiDnly02scQgyXigZF35rh+EYDk4dNOMT9dpigdg5IXJhWmiCUd3i1nT9CDBkUZpWFQ6F
8gYSOU1bkhvfNF2bM2twzN5iCwB1ljmLCpPAz7hpzly5ZY1r1QEplBE3THEZklVQE6G8YPQW/Pkc
KVNnVMCbDS7ILCgYGueR1uuFGko9dmoSmzdVOBIlE69ccLDTlO/FwcxjUjMHa0eRl5UBrviY3fq+
8DZWNBSfhUHZdcei4nNpNV/ebo3HJF8JMtD6LjIgSF9PbFa6fI3Jobfgzuds3jSYaZko9HU+t8VK
5n45an6p8kA2H6MsD23NSuntv8ELjB3ObDIurJlnudxlhS9FobIqCRTtM3MdtJm50LI4Z+qmRRma
UoYUcl7+llIEZVCYhdJKSU3bknG0j83E/Znklf8ogVf1gnOdtUCMShkyFmoyNuMr1Py4DExaqBr9
sk3cNl85Y3+SgojV2wUodKaTKXJZREwPcuTFJtd9r+OADN/VhN0lleWw2KgXHGpW/U5mjqaOZBbG
w+YUSGaI62tW0MQ8LVVBS6qqlHY2H/1wlee5t0m7jKrc5BvXjaIN5XWnqaJNGzXqzF9AkddmacJ1
TJ0QbrykI6f8yiBBYdkiyhhpHZt3acX8aufTJqkWNGhMbnSaUIGSiVyHUItzY5569JVn+UaflcoP
/Givx6RdF0VOH7O2PHim1u/LKs9WZZQZioK+3Q+Rb0MHtVHLXTNoxUIq9BppJIIrPFKii4qZ0szt
uwH5kdb2hcp1q6Oq82RiKlJ3HnU63SO5CsrWvK+aOukXtP9a5qBMMGS2LElfp0cDoX3SGIgUPc0s
u8zCyB5pky5o9ix/R1RmJja0uRy9AqCNsq51Gi8mdle42iZhnhrk1yzsijdDHPiCgiE4Uxi6nGG3
JbqUIqMsFB2s0tZkz+yW1emC9F6DD6iYGAFaJjXQFZ/F2TQjblSJulCRJ837zBqKFY2qcKM3cfhn
HZTj+jIinJMjTHYajnD4yRwR3CjDPIMjIplhx3KnLSztiri6Z1tWUh1IO8ja6T1kgQt8LtGd8Wk2
Xl8UGStUnKTlVdhl2S73m/EQNlp51Vic2XoUGgvwd064U7apY1TOBaMz+OtzKyniMoVwA4N/qbWm
b1ZEtuGmS6WeKz/V6j8ui3e64yksyGkgQSlKIITFeS7YUK9LeeUVqnWr1DGLonRoErZKS/u3p51I
pZHBmJTrusn5zCMiNo5RZ7JcDV0Tr/RobNZ9zd+eTEuMqZGQIBHErJrN9JYOVZYxMuRKE3m3oRFL
VBSKO72IuIpLfcE6z2DJCbXJio7iVecRs+pNoJUexK5h00BEpu2SchwWLMN6rSchuNAn62AYK03X
jwjBj4PY98dcxa1e7X1LSzZZmuj7LOHWKhdm+9h3mhapBG2k7u2ugL0NTKuQX6MgpzMmRdRbY1Qj
+o9aLR/igpNbQyeNnRNe7LLSHEOV+y5f4PiMZU6zakQIIkzYzSxAoCYxa2p0SEUNt1E5lbHKjdBX
gd5qb8dq+VIrG0jkJcLjqXCtvBoq5uVIqPysvTKbotkltOb7gEmyrV1R+youqmZBrGdUihYH+g5I
RCxOXqYcRyot/YKM2OIDXjcm8VQcBJbTBVm15xltbnqWhSq1ZGUXQRsskH5ltlPQNRklBiMIGS+d
3yPS3O3SvCiAKF5o5YroKV2jF9Me3ogtoILug5xqMqRbc2wp3Z6W3QibHYPayFTVhKODEjfe0lyk
15dpneMI6IL00xLo5RizDDViAQt4Xucqkmmfq6LRxqdWI7FYMJVXVjnxxCiFytAZMOcgFoxhbnV6
k8Mqo8Gp8oFd6XGT7Iq+qRaw5RwpMS3CUXMKtGKGl3XnplmWJCBVeJVC20Nz8nH46mf6sJAcnhMe
ciG4gMF1aYgZuBSJ5Qc9yXNVMj1YlRpyXb/zi9WbVTSFGYRGCE8XYlbGVp7wZREEgDA+9ko3K18V
WWK9XUFIqKd+HmhYZD6xGwwvJ2HlZqrjLZJLANUq663wzi288etlhs4oiKJLyRkiDmbIL3OFIy8S
JCl8zYtyxYrGXddRXdkRbUMbLZGFWcwZBZ1Qmq4fUUqzoXDHIcyVNNvPlkjpKiVuvmBvU2Q8SQUk
kg5UlMA/4C5G/KdEjLovkszQMmWYmX5dhH3xkNAu20mPs1FlXd9vLsvPIOcoGoRIypgBqjMLH4s4
jLsCFJknIcDC8J0+TSPblS2Jlc9df5v2rbcaAi43qV6Qn9qg7Sue5mufdtH95cc5J2Qo0uTYcMAW
FZ3x76Vx0lguLEfIdnS0XAtXaBH8eDsRwU3CBEf1CSQ5FbJZdGNQ5TxTfVCSwB660KydSpe5ueAH
57QpJLYdKJHADzkZ75HJuCxKdTrAONMw7e3Qp6bSO21t8Hab1tqwQO2c7CxsSkhLMCyZzVOEpq/M
PmmzXImau1dROxS7HCjqvF14FhoeDDkQ8sh5Y1vEoqSDB0QMq6S8zho/WfWcBgvt2DO8QGwoooCI
UNRcclGaaZEM/ClPFf5N3ElmGwH339oqwv6Pjg4EYAO1jfUyPj/SjzW2Wq1Nth8FNDkkQ0+c3E2t
Bcx93emYyGA/iAvMUlC5TcwekUnMMeN6IjIVNm5wrQ0WXRtFvM86LpWptzdWx+9zTXdXhS/cK/S7
96bM84X4MiWIM2SBfxsUYwJ0W6x5IjAWeiNrL0YiYLbEWNW9X6UfWc/19po3XUftvpNxsCtbSZba
tGfcANUAdrEINTnSrJkbaJnP9SaRmRqSkEa2r5uD0+XBNWUes5vKxf/fbKMIPgQ9aBw+gNBnmNYQ
0SejDhRhvh+orqLlWiTjkidMj30qUQMqRYcMFvSyDn+qVvScvb4UUKvpB54dWyLbDekodsyV/oIJ
vZYgSFkUaSLqD6LPCypgpamXHBLMIh5ozpDFhaV07I58khXl3/0u6dwFP59kNOcOnjd1GgFfDFty
J0brRwXvvYJmKk8TzWGy4J+Lphv/LBoRO4aRkj/RBumvcp9m26Qk1dNlFb42V4OigUJQ6SCTBKqd
kk/SQvfarsmUHpeeE5vie1yKJ56iQVXINFENW8oqX0PORBFFK6Zp6LLSmZdWXRAGxCgylWoERWvR
NFu4SrqgyVcFhzQYQ/8WjkCm2DNL80hYYwsuqzNVhlo52lYaBF+KcUiYU+Yu+1hE7RioyPLRMxJx
XC3FiDM2y3Uc7ZhyQHSP5vuD5ZiLKMV4W2mxW6y5Fw21LV3Df8yqkoYLbngG+DAqQaks0PWf0G/G
LCVaxLpah+Ob1UfgYvRouDJyWlbGhsMqnz9ENEGp3LtdVa+J67pCaVVVfPJLluYL9dYZyWMeix1N
HDYypqXRU4siMY5CjUUHsC98uGvb1H92JvL5VO+ligc3OlTWZ6Pw/DeHMggBY3R0zrCvyc2ZXemJ
jHmRw5L5wOLMrj2XjhvZGkG1IO5zukXhhR1UinLSYNP14zCTpqGLzdNMeVXjfmqHkIrVYEj3qg5Y
IxbyxnPEJNpW6EBKHf9m0qwZIb5WR5ka0Vnf50bW3HSp0JzWzLrHy1BwBvzMiYSOgaLAsI+e8mW4
jA8iBV8iFO73sDaGT1Yt2k2UxvEWA03/j8v0zrCGHj22jjk6AhZWBU7pxUwLkmbIgOuZsBzNxwCz
LD1M1PGet6vMwsgZIRGsoVs8s43ATHKvqsNMyYGVnmJ907gY+6V0Z5AUvcDLjJ3BVAs5FZtQTp8a
jqeMhX1qxl6jpcpIktB2M78KlVZg8Ge7VkW+10PZ6psCsWahcjpHF+1GkKQvyyQzW2nqzogJFaDb
pejg9E3AbsiAQWOZBv6nLmPZtdX62kJyd0aNWFBACiCQfOGHmTu0omVJrXmAuhpdAjeFl+dRkdlC
VOYCtJyxUAs4x7GYja4xltJPBTvSrhFtl2TKrcbRjpuRbAaztbZN6YZOl3raQqPlHGsoq6fxCfrF
KBZP6RWd8IrekilGnMzcEW0kTuLx7H60gnjBQicLnKUBFrIozBoE1ukRIE9JMbMgtTe4qdK9IL5h
JdpHIeP++rJlnqWCuMsJxzRQvgSSI+jSkzxKTA40KcK4WBWubl35mt+9uRdmYOiIjoSFJi4nYiqF
j6hUPkZv5pCDSsx7YWMTPR62LMRczRm4pRcLEHnOKtChmuoYJBXMmolO10ezbALgllbXD2093iVZ
0SkT+ZQSRVgsKOoctenwEVao0CZGXXfKXJ5WoUlzOHc5FN4+DUq6riJP7PS+z6/GbmwWuDujMiAy
OtFSF6DJZygZCZJ3PQ4FqK7Nc8xlfZ20jpcZ7lIWccbYQWJqjKFHy3Q5PciR1vqcGX4dwI/7thWJ
k2B3wBFRZgUqCNzy4bIhnpEihIjRJJYUpMR4+pSY2xt9WntWqkzp89TB4xTf0pJxV7kaGrno/DP/
7eiIiI1uKXISTIfnYXvMrKT3e5KqsA1cO9I8hxE3QKeWayvmlr3qe6NzLrN5TqZIqvnUgp76TJMY
jmTq16GWJxpDjlnFe4Jp4ipOqKciRpYa7EuUpthwRMnMsRaGraBU5U0dtDtAdR2v0iFqczuIcqjy
MmNnQo0U02B0yk0QU2aMJXVpxX5lpKrux3ozDlz7OJqudApeFSutl8NeFIH7x79B1JxgBe6AamlG
tExkZwQWTVXVQYgBVkE+JYP5yTfTcq2bBV13lc8WaJ4pz6aDokBMHVU9eu6ncq2sMatCWqYKlZKh
PD/dy7yP/xhcP8SnD9DkiSd66XBNL3ek65MFsHmdS09TIUAoMmqcu5o7v84y0dM4SFUjeuOuIemg
Yr/0njW3aA6jpbmryi2qg5ZXC5Fv8r/TcDSZKzwFeTQaCvNwlNZMBjX6k8olWBzCSMNbhTQkd5cV
+hoFUHUK9CGxVoY+2jy+tiJtgoD4aNi4jf/kjX7rOzU+2iFdM7fPnuqGe8+XKb4W6FTnoqUmTMRA
Pscdv040Xy+RQSR1kHSqCFL+UTZj5KkSY5U1pylXIvX0Vrm5Gy5tLZyj/pLFG5yJKc8+NaZWy/TA
YEhD9Tz3Y0docEz07jO/s2UXB4YKUnfsnLzX82iLZrHx4zL3r0GCIobgnB7GEpSgU3pK38REAmky
QIL0Ed3h33OUs25DfMtav5kSWqToDGGU89JgP6WE2oHIMUaUTF0pUicdrW5QMsJMf222fPAX4Oi1
l1LYERZmp3U3AMNMsFWoRWFfVwgnJC6+I4A4URdGjhG56MDVabbxkqH4mnci34QDZZ8vM/vaWUAd
rXQLybcw0BCbMduYZtRUoI7NsfDKyE1d8TAlb3bJiYqFQT+mPVgxnSUC8BALW9odMsROk/twYDet
1Wu7f4MVi0xej21POd+rqbDrp2ErDYLsxvwjltLdAUNovV3aBTvj+WhuE7QqhcTq4HychPkpT7q0
SZWnM+7IAkcdpZF4O+z79XvLqrU3p6TYg9OnYYfASdJXG2GVR4asmFSkaSFdxa0V33D0vVaJ17OP
l0V4zhaxean/alhiL/3UGpIw0FFvDYj5oqt2elgwG82ExCFDF+/yqtT3Bebtd7wM8684B5cvuMIZ
jEEaB5Gi64SF+PluMI+jFqsfSL7d3tOIKtBR/MisWKCP2YvykRCNt4qzoHhkgTeUC8y/zguQYeEI
6zQ2tpg535jKtDHHSDnGXG3M9K9QRmCqlMAZ7cb34gqrjlF072k9/zcAB4SxXwAlA3bmvf86CKrC
a1EEDEZR2RqecNdao//FEE20kLvO3B2eJ7HRYwgUAMBwZHanCnZbP00kGwJH7yruGFZcbYysDRcQ
dN7U+wcZC3imUzj9vFbDsfJEDygNnBAzilrGjdN6o7bK9FCzC7PSbzBPTPcR1T66vduvC0w779ym
fqM5v3qMGbixXO9qJLeBE5Rlonouyg0Sw26TiYQ6kRxXmUlrBW9G4w3LjKvLzjSLWC/UseCHjRUD
nVR0cE5lXWZBFoSiCRzL85o9L8xhpXtNu86CdmnMcE6tx6Qmvz7OoEcqBp60gdNIGaxqGlsO6ats
Qa0z4HthSE6NYQvZHAqf6foRFa31I+4Hoe+4QSm6vY4tWNeuhjwqd3QIpf4g8tp9YzY3EcUmPbwR
Z8zxCVDWLImlAytKnknP6VzfO3CsNzlT52ohWT3DmkA/j+AYBM7jiHmq3OCwiKuhweTIfrCSq8aI
abStaSLIFsf1K5wBEjkQ/7KBzADnhTWMLqdNLdBGMXIqz8wVrh8MLHCSXg9dDIDzJhhtMVadUaqo
F720a8tvu43XFJi2Xyb+ymQwz4ftYy8Cy/bA2llILttaMM1Nmc2L2tvqpTvYJhZfF6jMEJ2Z6KLr
BGkUxrQUs+AZlSYOcIAlI4btBYPX2gONs9uw6OVKM3ttVQ2I1kmap2tKRm8Bzl+5H0hbGD5jH45g
nMJmUCfDTHejMKG2oWe+8ZHwvC0+B3VNNKaw41LVC9Ooc/TgF4j5yOWwrj7zQX9kMXG1nNhDxFoV
d6Pl4GMfYps3Y+lc1t0ZUujdS7TwseAEP5yxluNEVxlhpcZ2UXWs3CIdnR5xGZBWlAsKnGUEkwKx
BYERO/4JfKLQzEbDyCyMvunAVaVnV76b5hvNHRObaMK7r1vM+N2uCe0w6el1R3m3oMRXfjmRx2gE
SR02d2Cppy5CNCmRA/vEhpFaG22siWJmica0rlHkB5l+d1myr72CIsOCWGE8yBdfzv8eQVzu9ZEb
uoA1EkdsG8VpuyoCv14Q6muuTqiQmVdEkkqtiKhrY6IvbM8yMzvusXln+PKubSlfwJlz5NCdnZaz
cZAC/J0KkafonQaW6TkAMT0N1zkrh8C3fR7TuFFWygaSroY6Dtj67dKkOAmINVgsUKKBdUrYR6sR
O/xEs6mVmV/9CGPMrHrjOhCUhE87wVI0OjqYAMHjT4nE2RD7+PBAZg9g56vUs9TBFCNf6MC9Ngwc
gNBNdOBQySAXn8kwxMcKeF0oQ4cQTH24FWQrLQiM3VsFBipTjwgjUTSm5q2pKqOdn1ta6OSMIDPD
kdd1oFdL9vAaPkxAIkpcHNHExNWcrh8ZOVr17kALK3S0dsiU7+sIb50RbnsXw/rLDL0KcdNGE3Iq
iuIFh4XmIa7MplO2QRA5BY6KfRujJnnk3CvWRch7p7Iybe+hibpg7+f4wyYExfwWawE4+nrKXzlC
wF4BKYaBX2BkjFX2iqRC9ZrRLXjyOVLwKMQX1Cvoi8zMgsd+G+DoFyY4I61vcz9L7Ky1jK8MC4Zv
dqbp9B52kNBRn9p6MzvXxyIY8saKnLwbs42s4p8lNZdWD17rC/YwfaYjWkyTjczwtqIGPjkIJ1th
gGL41GTj6Iwa869x7rU66H4eH9JRK5dmY6+d65TqDCdcc8hwZMsNHGq047bNg3qTVS3ZXrbF17kI
hprooCFs4gg65punZsH7IYgKDUWJZjXBxyRqRjWIPrUTlpMrww/dRAWdS7fMr93ny6TPMYgghsqW
IAfCovUp6X6sck3re9RDptk7ZkOi66jWlzpJZ6mgqY3pPrq9OEZ2SoWHDTaeXB44grTtmuZZhB0y
Y6mv+9rkUdMACOn0yVmYxc2KqkzoSWrUfujozeg2m6zLK7IewzJKtkVC6noBEiezPurmgg2Qw4EU
fIAWqihUk6dMtV7KimJkoeOOBdt4UTHepTyInbCcelWyaeWCmZxxAXT9sIIz9c2RHs905deMaa3o
QscSyDbq2sDMSmiZtUWhUq9b7JVft6KqktVlEzkjVuAxlm5A1UTMnCmv1qbkq2hDx0PwWfM0HHdu
0KClm6GYXzo0f0aoSP5NjOTgeKiqZkKVqT4I6RWhU9W1l+H4GVI/G9sHlmkHpqz8bcSyIHkzLKPR
iM/tmgIcPibMmmELE11XVU2TOCmGoTZ6S+6j2dV0O9Ks/XZZmGc8AYMruDkaxRjnzjeo6kZgCuC3
iYM9emG3RsvteJTf/x0i6ESjz4GjYPNyWDdyD/t8deJgAbpb+amuO2knx4UI+sou0D5BGMPcDz2b
adH11P57FG8YLoaZg7PlxV2MtrujV2W38QfD/OMyQ68AEvbOp4EYskQc55lvt6VlWk7L1YUTZpw+
utjMcnfBOOCQq5O5pS4dRO7O8m3W5UX0FHaNpAsmghHqK9WhfsKqJBLkaRMEh+lP+UU5F+HQZ1Ss
Bq5HOAeujTQm8cc2Hisvss2EVcmozCAZY6lwfrIKY6VbiW5GtoHRnVusZKAbifEwJnTwn4MIuxhs
18VWrn32RYoOxR/uEIVpuBVaW2nf0yTUXMvWAt3VQhVEbRqFK73zdJfa/pC2he7ULca94aaWYUkf
2z6XWmabvt9Nr/fHgn4thJ/UP41az7s/RjKa9KZMRJl8LyJWNzZphsBYhVoWFKEKjTpM9k0eBntd
hGaI4VjYDl96P60xIE8brwzFmrAgbezBiNpOKkzYrPKgx9OnJYTUj63PaO8QdmV6baV/lxXOPn2K
UBDSUGU4FmWkNiSTCKeNtbBJ8fBZ7+7zMkxqG5PbtHswBs3EccmsDl3XSTAkj+xwqGX5qWe0DG/L
jP9vjq6ju05djf4irUURbQqcc1zjEsexM2HZuQ4CFQRIQtKvf9tvdgfXsQHxld0g+ZVomgEAIa5l
Kd5XEWwe+3w9fFVcbWscY34ybvbEdCIRDa2uNraT42IkpFbtjpnfs1MaphpmWtmsjWxD0EPSL2zI
w/NiY6r+E1qV2XQxSAr8ve5YZ10vtkWTH9DLLsMPMzURYmeb7hMWFbfjTy2hLHlL7ZjA1JpHpeJP
XWpoWpsR0REnvyer6WxViPlp/86hkT3JiW1+F0Oo9j/aboLZDiCTsj/3ZQbo2jo1i41hlR2a9Irl
mfHP5eQNxxYxRruCr5wTQudWZJuNv0tfifHXVNRuJWckCBxOXAvrLHuqmNXOtbDN1PTpOKpFHK0R
4xHm7puVxYw9hdIvv7cKjn3sXUo35jWG/Bh8O7kikqd6z0fxl6JjZ2MnCanHvY/HNmc1GP+ksD+X
kiXFVxYjHTlA6X1lScdGV82sm2q3pXsX7Ircy35slmPEr8eL3LzMQ5DQrFtd1vESxkKp97rgycxb
6CVYQG8Rtjr+oFa6LGmNpTw+rraGDPJC9ibseZvNaivGjo8mt1s71TEbvvZNZQWO8lDusC2QENLk
raYh7vCsUx83140zWcO7Zk1Mb45M0/iLqs2OP/NmMOoF7lYv+qIZyNHBFhGrtk7MoHq3TCG5l4h0
guEfYHx8FQTqEdMvtsQv3461ugthLumrmWsbz/WwoAJ1kN3tLOlhJUpHcrUGAea1VSsN4V1RiRf1
LJOAmIa24kmERETNRG3Jbb5lUjfdNwXeJD0zhO3ulLAaMGAbMw4u4NYSODmbLnXSxv8KRsBi9QPb
oQJq0yUkCz1DIqRqOOZSEkPazklUxzsUlmQeW7jKB3WXZSOBShU5P5Alt2GpR/5RrJvXU1eNSUye
S6YRngDXThiauY0GEhnbosAW9q+cw8xYS7Kx2Wz3rYfY95sqFSs1P/iSFGK73oxg2l42D2vw3jks
BVXZ67wcijuVz6W0yC6amGLXBtV6hkY6bYxuc2TYFF1GCdG8m+xR6+w65hLl69cgimDts+L5ypvT
rprqSH9tw4LdB9NdXeTzNydJqntvove3NURDe3bSY6RHezTBpqd9D4gF6htyzNujnNewXq3I85hm
KArNwucWueRH818tM3AeZzOH8p/R01Hdpgnfkz/VlO3Li6zgyIfqD2IlCA9hJF3+y3LU5DZzmBa6
w0/O3SYlkgtfAhZk+5qYZRMXIcYyu91r5FF1KF/JZ2UkAo4mG/T1NkRxOYohRUjEsY5pW47HeF8O
GXto4Dw4Z6LhD+DVNPgeWTV78VJPheQnwE2bz1qQ3gt7KLU7YN7V+UrJW5YD+/6La5ryN1POO2AB
S0hzwZ8FyiFl3IYOOgSRXyC3TsTtHtRQ9OWBMb3jc5Otb7nNapK0RMpV35GCN+I545NY71J04OFx
pZMPd6h3+i3SNLDXUTXr8LeKUy2fZk7q6smsSWzeoAVal/O+kKnqWapduGBWDaZ1XkE0elqJHL6W
Zk+3R8hWJ3n24+SbTxzZBWduSCF3edrKTKn/moHOJYyFG+7DaYluy78m6oBOt2TZMpxqnJHEPxW5
BD1FVDDlTxXiGm8YmSms/dQPgr8OY20SdUWPvdyrc1Jso0+vPBaFwXfxqOftn6vDkXw5Tld1tMyk
1JJuN4Rmn9nmvc3hoFe+jD0cGm4XHZKQxtG3TcOmAl6NhX2rUjeWr37vyqBW9VVZmSSiXep1h1uW
jZlpPlY6J/q1mqicMDEsOOishTIsllnHl5AXUKakVhqFQlr77VLXTsCDDt5jvZ9IceQthDKIDKoX
j3oO6cFu3yV0oVsLD9VkURpTnnYcOhBoLNOFgEjyywRZUcInWr/6EcTp63AQ+d+o9FwDrRSOAw3W
6WtKgJh1Oc5i3lXruMm/u431MwRe6NiNTJh/KtXhr0a8X8MdZzlTHarP+lanIH7RYB1/3yHqeRZh
mf8rp8LIK734/EkfR/kE4+lo/t8W3sc63Tx8jnt5o46V2Z+YFGpA0qxo5GWNCLe4INBkMKekGqjv
8qXZiqu4J5C1QO4rX5e0wsMKkVxvW0jSHtgoS1qmkXjQQYiHOIJiFWI+z2Ux3GG7CbLVUsSPiaB/
X2uTrfSk2X5Agm2MPG1rys9lHVJ6pokaL1g+kBqiA9cJRG3Dynot1ZJ0DqLxfgN7YS8H2tt7Di2m
6NYBPaYruMNDmYJAMpCDqtV0YTssv94nV4WWuhraMaTFNSMShPzh+imQ3d+MiL0I7Tyr6orLzXhE
1hx12icEbahNv39VZ5eMQ/OR2oF2W7qUpM995lOI7Eb2jHKX/d7zRbk2C83+i87V+KsY/fCPgdl5
SjfEn+COEJKc2bSAR0qqLcH7sMzN0Tb1jmEVwTG6vNOD9PxpWaLaLxndZ33tF3h0zjY3mf/F4TRf
e7pWZGrnYj9AAy04muXeSHoaQp0s3Yyfefh+DkDCA19cZ4YhyzrMKEvV04hZBLrEINFE5kq6tlQ2
+2iOQt6O+RJ9D2XzhGtIvMkvE4krXOVxmv8seDRTNx2CnHM4vwv8tQqSoqLQCrI/ybMOy448z1Tg
PwHDYgYfea1Ym8/p+LrxeR6u6DgcWVthUoEEY66bpWtSoR+4KGt2rrIZmTbNbktzzpc9AaXfRN60
S9yX0DEHZW9LipRRvPoyKU7RSv18VLssfko+zml3lGQ2rfSV3lvOVu/vi2rUsFqPeTN2ajyqtF/w
PPWPNSbZ1TLOsrhecuEH/BChmC4rm8Y2hzPItaYyKGZ7nKg4K+nIQwZp1fKZLjy0pEbNbNfS27Fn
44p/NudVw0+ucZj4ymoqRijFVXXbiLmiF8y4NbGtaBT/4jH3x1eJ4JU3KTT6ycymKe/V3jTb2cQx
wbWku+owLVEkch+Qe9wMfitesyLs9Y0a4APoWO7G51iNKmk1lPe33g0YLt1xYMhzUTdZXy509B2C
pxrELjI/PYY1y/7stGF3k1gkbU2SjwbFsJmnTg0OhfGIKf21ZUn4QxY+NC1xdEqfM2sQWVBA4iDf
+LY6YGN8N1b9wGsZIsIWPTpfOUwJeWSYa1+iJYh2SZZsul3SwjbdguRvDPx84WM/jqzOr/CoCneO
lh07jqpqnh3sJvNp8JMZ2hEcNbuaDrKWZw6pDm8dbEzVeTAD4OBIBslatvj0jR7kWxAFN+d8Bgi5
n5rcQQ06eDZcYuYS5BAV4ygvBPO0/s3m/Gh1XfGp20eL2gVmo+KyPWCRlFcb/K6PwN4y0YM/cun1
WpkUDjGCnQXvVzkRd0HAuZ+vFK03fYtZBVsbx2OZEe/X4N9JZlvs/e4p7PAwsLDfoPXlV5bG8T+m
l+M/xL+wj2Pk4k4V0Oadc2zpj3G2/EUNRPg+wYF6s7lK9kvCc/WycZKgZso05ufKlwJDQTI0pC8w
UOSXMvUpv86F3F/Asxdj7LDvY3uLRuXPGzx24QQHku7ZMJfoBQRdq4OMF/lYg6D1hGFQYUF1Ii8f
wcojnCLCzNScodFPtjOptsr/mlVT82tDOcZh45LqFIVDH2r3SeXmpJFXN7UlIex9HuGcbyFaS+TL
bMOx906uQ35BKV7uIaIYYPHNYwnbjW3KlsYZWQEQUjT/ki3z/xJDmn87LbDZunlYQ2cTW4C0rHf0
MwjsxIQ9RGanocB6Dt3Ld2CkT+X6cRwHnC4jyyVv9ybmf0GWYAcyTcoxIpPtVz1Uy6dUgeQ3Odzp
lzQp66kDnL2tyOIACnyGc4Xrbi4GaE8YW9NXtwwOr8sSxz+l0sePMtLhozGBPNk8s08NaQ5+0Zh4
IJ80BVzFlQTpdJrmeT0fVO7TqUl9PbTMTuH+WIVPzoIe/rNCJClvCxLM3zlHTgKSXlRe9oPPqotI
NpcAuBnjx55QB6u8rpW/cnzPP4+D2gqenrB8aBSPeKpsPd9nc5b8y6w8fjgCHPycr3v54UYxv7AC
KRmwNIr9xpYjRqQCZIprAzQ+7kpAhBv69ZjkP78m5FPtfs5Q30L4OS0GsSz7EgV7mKeVgjaVTn2l
Yt9Cd4SG81MgVAgoN4W9JdLrDQtCWP+NJR3+hFyPTxYt/LEUzLwzU9Sydbhrf6vVbLderilmfYVn
3iKDxaed4ARzoBDs27ZLd8gWEhoEvkXAmP3RbFjD29lzg60qsO81oS6mxzSTXp11MhVA5FMkGp3d
Hpxt53UqqguYy/S9NLwokU+ykwe6FXjdM9guKwBV2OF7D1v71tLKV9hKoSSowTaR0JyO3MPCwb1f
biI4X3o+Miz2p2w1oD0NNeZSzbjXbWOkKbvFZnZs7V7hkA2O0odhrdkrlBfi5cgscCAsfnZvc92s
STsggaFsZVn7Zy7G4sstjbg/9mkfbzwjOT01NYaY8+ZlbTpuvxmVZEjH63SthDl73zQv6OnL1Lti
UrczHN7meltE+WdxObn3M4nFOa0Z+z1iYLU31bg1z6wZgof3kcNjAIylGLrA1vVUp77iV2tK1dyN
VNP/6jX3EAGpQdzSuMVXelhtuq3YS4XIo0CONuDJXCSoyOPsHItvw+iDv0O1KOS5yXh2krQ2R7dC
MoFxVo9Y7gZcPO5OaMIblu78peD5+JNvMPq2k1mLrB0JZoA+4yH5J6ZZ3sLu913CgV6V581Nuurg
ojGPlQkO4b3IdsANiEfZRdiyHpDrlvuO6Viq1tWkXE8jxvaiI4Im14U7cJkNTBDIgpRHVbV4n+lf
MHzDr0TT/TeFnP4PaIJwOwo7+84w0fyuD7f8ByRQPG5Wy8+5iPn1gsvcOrDkWH89WCKkZUDzDx3c
0QzXudpFjd9rA04UGcxxGpLcZW1KhxV3FjUDOEhW7M8C4R5Y9jOoIlA9q/XRYUs9WgT5zumtDqT4
48Je3FflvH2IidPfeQUKrd2pMJ98R/JU6wXwz26XSylR9maRtZvd6w8wzBiSLWvGu1isfmsDbuI9
PuaRTLBWeXun7YghJUlt2oehEgtsXSsp24C9451AmvVeTyXF351pWEIg3FguVM8Db4PbPFYg2Eqx
/MdpWS+DJMf9UH9/GKQEFWvalWXV2O1sqe0JU1NQHd3j/AaZ/vCY2fJwrcR+FDs5fk9tK3XLlSqR
Sdg6XVZLN+Yw7N/UW9g+MhfoSxkbitpNonpalKl/F2OehuuGj/xFm3n5ayCxvkd8xBLOUzk1vl2Q
gvGWeACpbYYODPP/tKbPwim0gIEhOhMltqyevEqq3zbXWOWgIqavzDm0jmMJcP2UG/fixiRzfit2
LMmYffPF9rlKydtUL4imw84wYCGtKcKcdkwtdzLigy6tpmJ1LV7x8pOQQ4wnth4IP5qxEXdi5PxB
5dgngAOBU76IdZjvtoighMtAmvS63nn1NUqqbqBfxxQjHEaM1NT+BchytfaQIQ9H52tSs74uNAT0
AoAY4jLhm7+fQDb9PYRpyrMxS3YuSoeJXpk5Tl22bft7sh7NYwlxH7T2CpEkLS+k2LoG+Y+3oDKX
ogXxNv0cJTe600ZlAqGsDrNXjeCovDX5KH/ahlRHJw+dx87Q1N/RegwNWqGZnmsk8Vat1Gaqznlt
0zOesY6Y3GB1ltlO3iEugt0dpvds7wtR7HcC7rjjioMleqnIsbEbJEeiOTKM1axFLSJXDUu8uySj
rqp+K2q41IsRRYYCLLsZUhEfdiPW5hQ947dBha3AAlaEvG1I2B+mo0RXU9UIGlPYTV1NFYiiU4Ty
8K0YdPxYG5+sPZ4hv7PeZGnfHDsOt+CD/G0I15+NFHTsSkwof0EyhPu5OgzrsTOrH8YHIh4TRDGY
8bnRAIF7v+QGX+YZ7LS9p3mQGDsmS+0POmRj2deqXsMnjyTZW8UN3gJSGzyFBKM6NsM95/nlWwAA
i/O0NX/LYtrUad32eLwfg01/1iAOr4JLGF6c6OzbIo/mr7SLYOc6VeoV4en0t13IvHVHTuR7MqHr
tgk27l+RzA2Cl8pmOadbiVPalPYQJ7Lbpj55O+jpagPWvbeZomm8G0WDmSViLf5Z0h3wYuozJAPk
ALBFP2le+xZxpYs/1fW8cMAcufzJPYITEJ8eFWn9xvy7oTPG0KxKVXWSAn9Mv7gVv9rXa7X3SQz+
HsPzil02iLB2EojedII7X0pganr9IMGV9fhXxG9IISTr+lTPpK5PGeJ6MGwcazi6OBUKyFRlTdKR
4OOCpqI33S3gtP9loUoQ/YvnMGVXRXPoP+tgkXQ6VHbNO2DMWGtClVsgPaRc9M1OMyIQ05nnQIcQ
rgeUeNNMdirG4tHOB79zCTlU782BVWiMkO11zG8Ikmeb0cc5yzBjQAEzQgYstdw4CBqvnufNZgn+
d7f8SPMZc1uYYyLPEagv7Uo1lU9SQDXQ+mA1EDcuqx+Ipcur1ujS/gdDvLctwJBE9yUes+7lRhgA
K92Mjy4gGKcFUMKTi4Nq9+gLj4RO4NBNveHoZPReDMP+DFJFYrcPi0q/y7f4mDy1KNPIcMOPT5im
WzKk7iWLtHnQ0ht/gVx/ftzVmGZ9gYyIJ9MgwBGZ3gap76o8MtBVKbOYBJI9S8nZNoCMXiWbR2g8
5tGl3bKoKd5zyrGqFWiDsq2NLfxJR4LwTiLiIW6nrU6vNq2NazX4/xeGU2WgrBE1A1ZBlxHFeMIL
NUErM7Yeci8somUxXuyY17FHOLEGlTnMZmxrBI8PXWkH/0GVMMmFYUu9BqaaPyzVUf5jeUMt6tZo
QrfjAFVtIURMzjyOPPbbkLmXoyCStGk6hR3ZGFRUIGGmSnZaagi+A7KxfA3RRR4PwLzQw/IfBzLU
ig487bFi2j/qe5BE268BErkEhD+gEOTZHhGoX2pABEzHGkkXhh360XRCbxIpFZ+ETRGgJG34ywCG
Xp9kRZrQEewHj42fMTnBXbSxNkn2CJw5CH495Bl8vcaDlmkLJDOovsLkunUWHJ/Ek4wLFgBPi60r
Zk1/NluKvTqF6fIZlE8KCGNNLQYha3lreA1OKlRGP9oJI2+PTG5+LTnDjOFG4tbeHcx9ZkNIBOa9
Q9/NXIr0OjMDedkizZ+g/Y2yLczQAGFN1LadJNi++7gUAMDYWJhf/ycZ2sY1+iuzm38gajCvZFhW
cWq2df4qco52qp2Pn0cg20MeFPtaF0R4YDnIhwcdVIkSNCzZqxMUmb0O6NNVlS3Z38Gi5OFSccbA
i0bbW6+2P5UiAOZjdEjcsjUTsCQjygV5bXNxQp+jD2DQ9mesqlF3+ViEN4ikyR8FZgKNrGF+b4VN
yXyPxFLwSaNZ3U8dahag94/49IHOqu1rS5DZgmm9/CIIckw6LKP1jyw7ZiC9m99/ES8xWTNjk3sx
f1caz9jwpNA+TXeY1N2CHIH7FkLmirTDtKflvS8iLUHNSPHk04B5F79SPWSelIg2dOh3deVQrDZ8
U/B5rdW83u5DlXkQTNIV/VgJwJSI0a6zK7tSRGUVSFgpepOq8A936LtYYdTknQac+poeDGApt9i2
2oIC9hgRTVJcoQmmwLXlACI8i3J54t9JA+dGZeEOZS9XWD8w3rdlTZZ/A5GUdsqzFauwy5fn2Tf7
0YEvn/ZzQxVCXzI/pU8bRpCkK6Hyedwx/m8oBzUD+QT7iIUz3icbhuzRIwF+kNq1HLUO9iQ3VeGa
whH4VRfzTFuZWio7HJLw5uxMXsZ03iZQwRs+e8sHoLUOH5PjrfVOP5aIJ/27ofM8AGlOH5HZu2SP
K7TwAyA7yfH5jW+G2M8q3X4PQP6Sy5wH+yiTdJe3Q2libFe8XuUZZkTwfzP5Dj3+zhs+yX3HLJ/X
UzNBzbOTqYPEln0qDmwWJsoNCy3ZOAdNpDl7zOCGtafNuO00Djsofg8pH+5vyDBUbCIpn3jK+Ypb
PWJWWKAG/Uw4iOmT2lGKuzB7nNh6Sap/Jk/CMw3W7be6LtFyAjw3aVe5wn8AB69ot0OEfCkRfcuu
Jwp5/HebQyam1kuO8W8ZgdshhiYbOsC68W32Ln0PXNRp6zJObmF6X77K6gDwjKBnBK7OoIB/W1G5
qhWJBIdfjNV6LXeCf1lubsVISytRdCuvi3/gPQqwHVARfJPFEp4rRXesWQiOT/4COwEsrlDUXMdB
H2Z3YZPJL0Homp0Ivlk4dcck6m8ceQAZXzHgvz2y5JZnfuTh00PJ9Y4LwldasGwIdargDik7urrd
XA7kp98A8EmOdsER+olpSYl+zAeSdEsdSX4Jqcnfk0JNr1Cpsj8W2Ow74jxTdgFPLV/XeSq+trgw
32LoSYD5g5v71MtK731Tr8d2KlyT/oVwXMc2G2aEAOBrFJRfJ1wcvxU+31XcZEwNW2+gBsFBhrHz
H95HvwI9XMETT04EjHhQ3qynkhOmT/s20dsdaROgm7yiX0MugQSkSz30bDvK41xNEWrCyRYJwcaw
kH28H4tZ4prBDJDO47yG82JtLjqJZ3ej0iUBlwxD5hfXh3nSKmKoJcM+FF0AXJ2fClX4udOJyJPb
OIhtaBFMVLyTzIMRUmOdmfOMBfa54iTVXVMQEq6njWUvkMMiGSBJGWaDakGGy2JSoDPj9xzQjsOg
H4TKtUBxP9RPsoEeQ5fGFz/amOrqKdlLN54PYuSfSmM66iYFsLoVZCzQzzKhX8zqi//guQA+o7hd
qnYzCuaLN4okw/Q+DyGLd3yjE2lzPgBtcmNRPUCrq3lfow9HUO31iqJECgt7nUM6xHnEB1zEZRBr
Nd9mKB9Antlq0hO+VTm9zHwMgHuKg0ynBbokCjgvA6ysTRm7LFioh1Me+St8XaVsJfIsRvz4FvtS
ZdG0aJHgOCw6zdeOEF3ag/FJb8pDDhwZlk15U/KaeAD6h//JcCtfdYwwGfu5mZaOcNS+zrGMIXJY
Las+AxIaH3f2nc8hjjJ9JQmzv+H3wOun7AABSpDa7z2j9U67kWhIMehQZ9f7jPfvAzoBFEhaKRBd
WY5iyzFm4eVU2abbdALEgHATiCORm7hjiZ3K1eDbQDLNL8Ig9w3doBpO1GOJaCkPzVk5Q+a7IhxD
2dY+8VM7OiQTdUIBUL2qQ1l86WJlvxVKCsNNqOz1kmIk6mtooOhz5MLeBZos0x2ms/Lu0EmlLoVT
buqKQkJUg8kBaE2aunTrpcsIAJg44vCwoljeXbC4kDWfxieJpeu3x04Aiw9ZEHAQaz384vWoA9yU
sao6AP+gAUD1brdaY0w5S2DqvBM6bBb22Xz7kdpj+UsEKaZbn5XFFdzX9m/pRHFKMmbXH4DuwXkZ
mCIDitJa/mucnP4L4Fa/BNDXV6pLSCcGjUSfLucjpjezYjTvJ6fpg4HcAwoxcLDIUXLBg3JwlHch
Qww5QjeP7aOaFxRBy4CWo5OYautmPu14FEeFo29qrWir2E5fG0iPPphI/WuyVrVtZab8h0JIdNrP
zJEnzBMRCpUVf3xVy1+U2u2V+yVpWtTqdIYHCroTKMfohqEljHpC5FGpIna3uJt2QgAMoAYkyAPm
0tVWt6n19KNIDf2VJ5V9ogQLarvXbv+bJaPCPIIlSPcDaM1riQvESDfY/HbCSFp2YnL7As0KcqsR
9pkjmNZpiCzw6kt9QS9knxU9CoN46RBz5DytU9lTUlRTP+AGph1kuRXe1QHnoJuyfIJsGZlh4M81
BFvtd02GaQUPmLYbPit1p2rAnWDkuH5FwJT4j3u3LVDhR/GgBCbPU3CjBq0Felf2zeyoP/sZtPbq
S7l2oeIUVzbAJXqKAxoMuPHa/9E84R9YCODjniSJL1kaErhWyHq80DHMz1lwKUCj9AALh/ax6A56
DTDTojbLgzPD+kPSLP+1KWz6T4CdctqtUF79CXDWvY9LkD/3kmPEhgJ8hiZsGvJXVoQFDvww5T8I
aG52tahx/WBu+VYgYgfh7YEYN3OxieKkdbZBvyDBzqCTQCa+lCVELTNDzGV7rMp8ORgu/pRYQUfM
GznezxxDAqYJcFzNaSmPyXTrHsdfqUkhJtJgdL6/qsFAVxTLgfs8ScRPt9Zm6ZPPD/8k8XEyDeiS
zh9Q1GEJCcb956Esli3bv0/xvtNpuYqaq7cFhDAOdCP81BEAA0kL7oA1LUAnQFGx5OyeGa2qbqPZ
hj584IfOK6OW4fMeDOC4SEgQV1QOEA7tozdP4z5AYjF/C+1bSg8WoEez5A27uXjIC0DduPMzedCb
GR9hp0F47pAqep2lBhjw9i1RwgtXFAiI5Iut+wqg2itARf2ejEdWnKpEAJd125T+gGZSlR18JQCu
sK+VYKXntAod6izEGxi91FOw+ERMT9YcD5wZUMk9XgG4PEYo9t4Iy7XvcxaSq4OAfkcNH/1HrYvh
pcAUg/tUEvuZ5hEsPxI8J3xmJi0CFnVysNd0mIrhBpGsx4NakRhzxquAwgZpHnrlUuBbyGBg3Tpi
cs834E1Sl2gVYdnuCEVtaSszGt4bQdfYkjIMD/BbuGeX1ebTUUO3qxSZIbdKgIrH5LYMoCVp8QEc
70D5q7bxasnhsAcWOy2X5Fih7PGU6Ftc6g5pQ5Ux1gVYrr7+x9mZ7caNZOv6VQp1z96ch4PdfUEy
B8maLQ/yDSHLMud55tOfj6ra+yiZieRRoRsNFNyuyAhGrFix1j+E7B9GQMN9W4up/rtQg0TfCFWX
Pc/hgVcaPQ+0vMkkLgxvSJE1pF/6VJq9BN8hUPyMG0owKc9Qo7hJKsgFwGN072YyEhz9JgpxYBGC
Ke9cy8v9gpRIDS8nLaOCXXjg1ClggP7YlsIY38RWzuWZlmkvs30q5TLW6DmheSPmCW8oPX4QmyF6
6fPJ+BGABweQGSjit3oqeRRpCao76hCAtvFlEY6h34oeabneKd/YhdEVUPyXwauT0lGygmzPCMnP
jcmUUYTMEnEfyQV4pmGiyUnAjspgE5mk7HYn8BK1I9p1gI2sXr4AlBOYG5Tu8GbSM0F5zgDDEa0U
ruEo68R9UJccCQr/1l0tF8pdQQU6c71e6Z9KmVuTzaf2P+UMuyE7iiP9U1eD/bIzKw+/9iPtMmpS
vXYNB7tnhwOuDDYtwL4KbahC5TVvxHQx9EoSL/lwFViNeBAeY2vwAbLNAMRcw3Fo15VdSMD1sqcK
Eun3Xqnzm0wMB2UfJYW4zYShUXcE1zJ2jCZvAhXUBCVB7ICoJyTdZZzR/5TmTiKYOtM2YJR2+8HS
UvoNaajXRCCZYi9GKRAd0Mqnvd0pMeeJj+BV4JgaTafx0ZnXcR/iaFYrlMevIZVRPciGWDfwlqnA
51KWoFrBvRE0m64wEmWLUxAl7ahVqu95JPevfcYdhCIXHWc3asbys2FJQnIF0Df8FBEtUsfo51cV
PWZ+BHCZ0LcNcq/v6JAKn2At0sY2pj56VgO1f6XHx6hVXMeWS90qMW8rNaUgjMPhxHsA/Vu6rpmp
Vd/gwRXap0DLwy+ADpqGhKsrWiAzoQBmZIDKEjtVAQJr71NSq6+g09bXHUDz1jEpd017HBKLMLil
1zrIjyAspp8kXh14+MFQvfpr48dQQTYVElzGhUAr/xmV7/774CtDu6Mnb+auxasYjEUroA7J+5ri
tm9MwpOFJBqyXaZu3QRtbAWgwQKT5DrPP9e08QFWiaH4UwAekblTGGveBnCIBTSKp2nqqjUYITrd
8wFQ2xGxQjkzu9IxuVN0MmwDpBmdPuuxyUvzfmqVXqRZOTFNGMrlDqRtfz119UT5bSIyuDRG2gcf
0HRLf0iKS2qaZvw1RB5Bcds8r1D9AQVIkhmnI7XiWiPkVFLMo98EGCIBGWuaBlyKEMS0GAS2Df1b
ZBzjYjK8fUltOUSkiATXyUWZliEtuEzfIjtWoM2ElJq5pXIfczcpMq05FRg5mnHVxHM5qzqZppUi
+J9JHvtuE6CgeomYjESFRcwEgcdxzfbtBxFVhTJKR8+OR8I7fUQKPheogvOYBnBigO2aIulZi+UY
/nCGjCZqq108uKnSqb+CKSMGCiFuNLagpNRorQgMsN0SrB+qpEy+AExUig2v+uFr5wdpcCGQeNPb
CAvl3vBlFLYGqWBHNnrWSHQNJem6J7l5LqPO/IxcsAX4CLcib5NYE5TOSZGbm8oM5R9BLhuaG0WD
eDFpfl7cVlZe3fdjpolgN0wQ7Pmc2qeeEleOKragwsjIBZjXmV5/y4KEd26ELChBHhCn51IZV+8J
B/SQ4JgByVWyRBAAvwntHWFq6hwlisE4FhGKRn35dg+ojdXZuZg314RG+sTgiLzvMDGS/Yiy6uAC
eKA9CMynfBrhx9VuCeCtvMQ3RfztD5mp7ESBGp9DmUDiKhF1HCQJLoK5kXqF5yfq582v1JfrnoQ6
9r+isdvdj0HVccMUuv9cNuP42zeA2W3jyop/WlzS1UbnYNGJKCOzRIImMsCFjqScDjueZrcaCJwb
WAwkfjy94xdq9NlzXhhhb0tIw3+li0uNpq+b8TrPe+sZ7RfQPHSMtZIuwBQBWVYE81cSpdPPkLcV
s5ISMG1tanSqE4WR1sztPK1zxNBIfoRou2LcI03Q7VUqdXQ9w5nTUXcWYNEsn1LAJ6LIx/dp213W
/Sg3tmjIvcY5UIUAlFHkVxuzsIBdc7dgqWT66uQ7NGTLG5zHxNE1RF280vwMs4FQ6pN8R/4Yfytz
ojJJHNCjVi4I/QAe0xfgptEdvNYGnGEop8IGRLh31xCfAoc0X+KZFubtZxms+JeC3s2jptNHULkd
r9I8UR6iRFGz+zLqW6R2rLAb97LZDZ/roK6RQZ0qBRmgImm83Zgr0UNbKDWVp36EtDKKE9VGchdE
UyfZjM0NryRB34RqznNxqEu9cuWGU7Pxm3AgPlp9lV1k6iC30HF71bSorWrEB01p+OMAOs9LEU6F
4KC1lqNoEElj9NPMAU7skMjovOuONw6ALpzqHwZwc68qTwM+tTSLuWQ+tXZPDYCTjSBggDc0YvKz
rwbv0SPT/4Uo1FxmHYdeJRCQA26g4ihP8EFAeqTQg57KcOAirxrJ2pVJH9NlhSGU7gfwnQ+8VQqM
jSO5Bj6vQQ7qpamUnDqBiWjHspwkIEwokrieB02GPNIw7qhNk21qsAI+RRXwOzfEYtKkedByPQGu
Ub7KYxn+HEyQvU6SGGS5sP+q0ilF07vLIhWcEZk/SS5t1yDe5kqqfxZSGSBPi2jIXS1IzeSUptf2
NvQ30EyFIeaPsRGOP8xWlz7rNLTEjeRNouAGlkVzAm8oP3TiKiU1TQQlu5fMxnzAvTF/EoVaA7CU
577sEA8pH+IOl11BSRMyeM2V8oyePIBP4LjpRQXxqttI6L43Dr9HfPTgPF9OU5+DEaGA+quOQ/9J
ppoGorYc0pBOLFvMlpVUGEEKdjPuEoAb4AAg8N+8bAxUF0TSRBveMIsdCHv+pgK2Lufeo/tGcgwk
324VdNI2ftUYN02kCQOhOpE0an9R9L0q4vDR8mLrjrYhFZfe8yZhLnANuW3qAtSWIVRJ90ci2zNJ
A08NGZSl3eSQHWyIVd5PPaBUsa2tMlLdESyEBc6rGS/VSU/RuhDnGyYSyyTcqF1AWTYB0aFspNQ0
bud3p0ZQaaeLOq/9yvHajtoe+k3yVd1N6hc/JorZCFyGOBDxLNmaVUE6g3hz9buH8HcVlmkju10l
0i8PTVgFrDQb0tGa0k/sbhqF7xAQ+cbDiCS6GU7SozIYSLWU4C5lSmOkaHYf5zLEmziz7pvYmzSb
x3pA0uBJEgdClIUvfahMX7ywayUA4XOdGTG49lmNaqV0pp46jDPhQOHNuoIjDTdqRnfpWPgC8Fme
1faoGNI1dLHqxrR8AMeGlJLZ+6rRYBZlFf1ApKc9L9cjrd5piHtvC1BU9feJVFv3QhagomFZdOw/
KV1PN4N2eO16hP0aigV3/YUcqZZg1w1eyk1WCbxFG9ruGx6rWQQNMcrze3mUgAWAGash0Xgi/S44
cu2mHIKxcCtxkFTHnKBAO4PYts+d0gv9pm8rKdpagRVzpgJLJ9MCgDoBn/P9yJUoCYa/Bp/CzKad
BKlz0hwCPInZGAO5sEo5vER/zEqv+y4077QwTkpX6aYEmlYOxu4Wyg9N7RaeAotRKukvKc6kejsG
kze440DJausHJMauxCpW7kQQJ7eI6FKxsEkhSFSFZO8hLA1yiRLrCwGgZ0cSMnJWX5NswFA9hPfx
kDcjCi+zDcA1hgjNdzCzKk3IvNavS42+s6NMYwG02CwitBhVTwJ5S+SyBRopN5InAXkZqKSCxOuB
ZbsJ/KFfuVeMX/JEim5VUOniDBikdkw11uAhmhe/Ta/j8Uddl1oh1UMyrkijYdMYifiDjK9vHJ4o
GSloV5m3UqGU0s5TzemHL/TiNRTTTvwEmUz51WuSMhdnEuCZeAn5FxSGg4n+qJjdQi5QJDD8ShvQ
ZsfgwAEExIkyhki8DzA9iJ1cFflgnShqj21d0VYuW532bizW1sUo+E2/6/nenydu8GGvUs24iKie
3DdKRw0JjbP2CkAEt2QO+uSG7IDrIhHrvLOnmiLGzgzLigKWDJvgMzXJhBQk72TwUlls3utpDhiW
68a/LROQxHbHKn8Dod7dzg89oDhiAh9MEPL6Dp6k9xIXVJCdThl4YaiDmQATwVLlyQpGDrNfBKMB
PiuhXJFGCOtuUMNTXxKKbSjDykXwGKhZw8tXtMondIb0hCJblrz4UlmBgvBiSkqwuZMCTHpWPEo5
CACCLPgLVUPz2A5rTMldTvH4wxr1qSOPV8CC9JRqNVA4pI3gpNXkQQ3hMjh0ofSfmlkZ99xBtbLN
PZ8+N1u32oiNX5HiV4VSOHN0HrdyRHFnEw0NZWzNnABGBmZ6O2NQRzcYyuGazCWr9b1PR3vcBKpk
lkjLlcJ13XFr7uM8Vy5MaiKybSIwzxM+HwrptoYM+KvyxOlWhy3a2D3AinbfTNTf7uCeeWibCkbO
2gSqlm9w8WqMq6nRk+Ir7wLhq2BRGKUNVIjg8/WILLfpC+kpySZVJAfkefRi+VEn2Dy/wCh6EqSp
XVGCGv9m4Bpq0XKxMo0goVAaA2frU4QHABSOX0CXdvhtWFCXtkoBl8fO2xEv2vOM61lL4L24AeYB
SH8i1yAickYVckHuTqRRs0qAPzSEVfmH0Oae3cZluzPifrgThASxV8Hz+XRN6yZxK+3OD78kfM/D
49UKHd9ExpYu2CHXGg5r1QBbSW2oVzyHEqDM7V4EJajA7ixu6VFY9qSp/qdqSIAFnx986SqGwRyj
y6JI11HRZ/2Uw9HxCdM1WneZHXtcuZtK8jhIKbaAm5hXRQisiSqaDzOb/nnIiwqO6CbOQJuQxFDw
LvXm+8ovWnLPl79oIbEC4Nkrq5TP4ecqcZgWphv5luyQKn0tSYUJPPTCK9hom6TpNfS9zHGXZVQA
5N4HGj5ScgBPYq2s1FIC4O1nYWI4q95KypGyWDkQoVuVJ3GW+pRb4c75ADsSqpFxneu5e34VltoQ
82izwocxq5uCiVnIpBS9mmHzDhIEOLD5Uw0NBXgcdCnSwkEbfmL0K6+I6JzahkjuSbo270FJW0hf
AJCs87imDw8dUL7TgZmQ5kpgcRtxuAA9Z+2KDO52rugfs3+YLQ51kMb6vAMZX1rsQDOHgQj+hXYf
QnhQrij/hsWXVOUuuKASRGv7/NIeT/RwvMX+GnUBYkpRQDzMxJ4XbT9ej4z7CTyGAla8bNzSLMsH
S0v87fmRj3c2IyM+oyFqbOBHNf+yd5JP9ajlUqiys3FIEi99sK1cvEX+Qa2Wt/XEJJBtAyODIs7h
KAwdKlbJiVZ6qbnUZuibmUqXNOX7zwZ465V9c3wuUN8mfNA9piHI1zwczlQtz0oFdmrVcJs1lIYd
Ko7fINdI+/PLd3wmVHQ2DNzIafeg7zsv77vlg8pVVUPI3eCVcnlBBgMXC/pw6ADwhJVcUc5dsV0/
OaKCEBMMeKgJS/VCiRd2mbac+SIQ+hdvpNBlNdFcSayC+A61RnNFZ+TUDsE6wYQIYSL/tFQX73GE
UOncEo2rlveKNRV14RZG3WX/YCtiQYQmvKSqfLXFWoaAyckoWMupNEqwzo0F5mgoV0Y5tX7IlUuA
p3BBARN/+MV6A5xuHDBKA0JAh1poTfsokKvNQI2VDj61sPNb5NRmtEQL9ABpGdFsccL0vNL80Zy3
iNRZ932GMIgz+L4hbNqEpGYlkixFiuaTZimGyCqqqEYsbUpyq03IgWEeV5KfPoc09MCHxkBXpuLK
rLPZklhouq/np3gifHExIEImEStxepYP13TyzEnRAInaaArA6JQMb1eP1FuVNNqWiWdShVDUnaoA
eFyZ7omviQgs3WY0mQgu6iJR6eQwD8ySk157rfkkQ7yOuIulbo9ZWbv14Udvzk/1xGmYEzKsWRSJ
K2kZWureasDYJfSygIe6GsqW21ZQ1lzJT3xFQ0bRTZdQKUL6eTEt5Gr8KJvPnCfH0gDqPa6jnVLX
kriVMhE0chiJ460E/jdYCWgnR+YigMKGWSB66Yef0gP3PzQpHgmR2fKOhgzjuV7N2aBIUks/ie2A
XXuonN7KwCeOCeOJZBeIXYNvm3/Yu0haQXk3YJiysHExXNaZ2G1QghXuLSooKxHtxByR/1MwMOGo
zHbhh0OViShPvZbCzof75woV0LJBqyDehjSQ7gtgyt9jyVrTKz4xQWvWhsc/SKOCIi6+KYRpNJg7
DkkoIaAjVsCRoLZ4O1+EpfDhTWqB+bBw2cD2BhHMwwlGkM6pJzFBD0Eg12rAMfWltqb3dnwUZscF
EZNVDcU3fSkJKHYmLh4lPjACAgK3cR+D5wuibiUVOzHKrI3Hf4ieSOgvwmcLXyXNNItmtAFGtJAy
DbROoH/4WJNFc+RkNBRlEfWzwxUbxKAbSN8BWQAaSW8rxHVyN6+EZu18nZgOgVlCzV7kkmMnHA5E
R0n1M+qn9tSjTBqmcuUAWFxRHD6Oim+WouhlYRFP+rOYjUzC0g8ZRU6mG18SPMNxE9bgP4oB1v8G
hnUxPn10yyHGi1kjEHVttlZZxI0QWDf1AzJmRSl4sgVmsS3GYXDPj3JiYoZJXFRFLjedd97h6vXo
t/pVXPIUt0pahklgXGEmU29Now2cYvDXzHlOj8cTACNT8rulKn4ni61hUNcBgiDU9P+wE6W76vkw
bSIxyu/boVJezk/xxAZhitiYccug+X/09EYfH9YKCzkGWQhzN6e7kDfTx/c7mjwUxjRljrrWQmjY
qnU47pAO7DYRvTtzgPBUR/G44l55nBdQitK4SgzuSijxi7Pr6QFyU7N8poK1HUhtVFlgzfSfgexb
O6s34eDG/kALr27S3fllPPHlSLfQC9TwKpSopRzulC4Uw7LEsMTOddX/DgVI+w41T623SY5sh63H
QIq254c8vlYwpmAp504Ot+fy0g56ObN6XLRtT8mmnQYq60ci0JG8EmSe53ceDF7JzsuAeu75gU9s
GRNZT5MDaHL+llqz+F6SwKI3aHeoVd1EmpradVH0H85jmZ6F7qUM4QrJ78X9lRcDXH4T4JeVmNkO
XqOHyJuQGRyFJEm1lQ16autwNVMNnFcU0Nzh92sVLLHAqfIuNYdwh7YX2LokFFCl94zoGj3C8Vqj
aLdTSK4fP76cBsuI24jJ9tHmrfUuEzFCate+roH+B8x0J6H5tMnRVFx5o57aoIbMm5gcUuOpusiZ
0XwqFBTnQSbrsWHXABZ+KAOqnuBvyz08kXr/D2bFUxqhW549hOrDWU3IqeRQBNmdal6ELiz3Qgfm
hUjWym48OTFe+XPywf+ai7c+ylTAQlFoQMHFg0OAMzANkzq3hmQfp5pYP0wwf9YqYScGnU1SePew
mFzhi4thkoEpFxM8mxHHNnpUULhGcPA5ujZ+mrrnl/I4k2Nz8ELVeKdyKyiL2JL2MSxbZHWgRDWQ
i5xwGsrkO9wvoxxgiI+9vPaqe/NFOawHz5YpvKxM1pXsYfH1htQKfJ3WhG1x7NJN2DXidT+gIGaF
Tbb3TFpHUljWuwBkJB6AAu0p2x8NGoIpGnkrW/dEvLEQPiGkKzqxfZleBj3ITNyhcrA1lb/BSBcI
n49S/PlVPj3nd8PMn+HdOYz0JulED/cbb5oG3a7aWVwLq0hVc1LFam61NBAuxJ7+mpmgWFsktKIR
Ljdx5YnEFZ+qU/uLL/6XsQKRYXFac8TkPENlyj7YcUcFrfqqVGUMJEz0L7uaN9r5yZ9aYorf3CXc
nLOp2+HcVX3CmwJZRtvQlBLdNRhExpj2K7M6tZENjMQlxPEVvuU863crDDJYTYaWdwISeuWTF/n0
EUvZf8Z4ey0VODkh3lyzQjnYXnGxgKgjAxCQSDgqTMRdrwIRSKMmWEk4To4CqYTAQ+2D+H04IXhN
XiFjm4pNsB+aW2SK1NblpQUD+vz3ObVy2PdwtVJ4p/iwSOMrknsTUisDCY24FUCmu0beGfcFjOHP
/2QohJ+tObHGA/xwTmk91I0l8JGKoSluTa8J6HCawHhBE/XRl38wGG5XlOBIsaXlKxw5mwB1aBLe
jgbMtm0bjC9BiLtdk6Tb80Od+lakaFyAyDFzwy/mBYZJ1euU0o2iaOk9UhbmjW525kqsmv8ty8CJ
SLIxl4e4IZZazFnS6WM4se+yGtyk3YIVvSA49l8DKlTbooXtc35ap3YGxT4giqCV6GEtrj+lgTSe
6rTO0NPKnGiCHldFmISR1wcrH+t4blRLVDYFFx+VjOXcelWykhpM9cymrnaBV97nZnUJVE7fi1XY
rUzsxGgmusvYJ+D5MsPNDvdh3yoCbuO017Ve0C/91BIesXaCuiO10x0Sfd5Kvnm8P6isSxjnkEfI
MF0XZzkUdQD7Qg6pnR77UyFNIzU3uX84/7lOjoLLIceYUgY9z8NZCUKnDxPqTCDaUGBVO7+6AcK5
5ql0Yu3mXIhGC48Dis7zn78LtJTrYUeZ4OqzbuzuJMmbIROwfi/VtNe/yaWX/P7wtNiCFJlk1Orp
8CympehJFfoBTwIUxkjWU/lXmBkf9KimsMB7QCUsEdC5PJYppSwgNpFNHc+7XEFFt0Y7huqymjlA
MSCoiXyzldN8/LWI6xr2m7wpSTGXDcGyK2DgdBZ4vqRsr4wp8q7Ftlf6D0d3KBWigXO5QXSXzUV0
N1PwPgBAYpQxmnyTxunrNEPNKj1as8E6mpCuSLzADZEnsox7+eJQofRbCa0IEVEqx/ApzYViEzfB
h+vzjMLTlHRiNktgQofbDyAoaG8DueEKGm5px5mJFE4/9rFy3bUFsL2otgDRwZPn8KN0Wa72yU7N
cw4bvMiJIHQcD39BwktnJvyCXqoSsDJhpQRXaqilH73/uU5mjy0uZm5mQuPhMCLy8K06l/GghZmu
pfSvGSDj/fmzNefaB1cKFc/ZLmTuhVvzfw8HqcKsrppa/9HCES5y4V4P96lobHNJtnG8IcGB9IVf
w8qePKouzKNCNqKsq86CQYtvCJYQtd5B/zG0l1ZgXqXdRs49J9Ejd5q+n5/gcihqxyLdB0xyqLjC
gF4EjxBdiQloKKxgffBvUDvxnLZPu08CeusbUYenRmUv2JwfdLlD3galx09PUybFWJb2IlSHtD4f
Ahv9jvgefkCymczRdM+Psryd/xrFJOdVlNlYb3HeaEL7yAEztQCaUw+oRJhLsagoOfDK1wATJwab
zULgodHxxiJjEfWrPMemTJvRiIHHWH1hPnChcWMOjffBjc+8DoZabHxN9zxjKhkKbmIPiSH1doir
fDRlm0eh8oM3BnU1IskiLratFIC8R52RIKPterrGNNsmY3v+Gx3vBLqzsCCIU1SbqI8cni8YB1Ok
6ZATvbAoeMXWAQqLyUcjL52fg1EWp5gHCZoAA49HBEE9G92sJzGWns7P5HgDUI5AmhVzjrnbZCy+
ypAIjexPSKlhWqT/kgb0HBIIurOuhLFmlfS2dd+HJRIMBqNEQLeE/tLSoa5HI0EdO7pYdNFRkSFn
FCBrG/VVJaTlDeDbfNvobbtH/FV2hjCSL1DJTVZi49G3442M54kEesucOZyLGaclCutpYHy3QhgA
JTKLzqDHa9nUyUFAeLCmdGx0cTkIsi/ICPtP8Vim1kYpFe0yw6vO2n3o682IGJWHEC0UBsL/ZBEr
2iQZrEAfehszvADkcmF+QTcFCqkaBStvvMWM/hqKLBerVnrY2BkebnnFM8I4I7m19RTyd80E3TYR
pI8FibdRaP28TQYLzCUSYcpzZKSyAKZNIKPABiP6ShGntYbdEr731zB0F2bzPZ6r2mLd0M3p6J8J
wOg7rdpHQzleoSLX3mitr+0CHswwuwYNIib8rT7GRAWidOtfaOi2OHzStYO+OIRvP0enFTAfQRLi
o3qkmclI6CEVkY9DYtdqnHwakDPYhnDbVgy533Bh787g21jA5GQ2Ds17cuPD76iqKdLPI98xiKrH
FnIP0lnKbvLiPZLFey2vfrRh/6OVsM9Rvc+Z1n4f6ECPZH1lE1+gS79Wp5hj5eIHcZGbXOjW7JW7
RAtBsYCVayKRL0qVpbym6L/Gl1lNl/MO7cws3sbhlMoPaMKFL1OIGvUKWunE4s82tiJQJQATiO8d
LohXTXKL/GdnAw1Dw1fPcxf8cOGWQZS454/riTN0MNT8U969sUpplINx3nZBowsXMRviimS0/fhJ
ZRSLMwqSbb4LD0epoLV6WcIZaic/2MrWIGwLGa2pfzAXnlUSLUCaEPpiH1m4LCRIr7GP8ij6ASu6
vhE6QX84P8qpzQHUgyNBfYTe7SLqALjwiy6FVR2HUrTDsjUwYIRI/sZX/eZKLFB1kNuiuFS6qPvy
8aG5o0CVgfU4PihQqzOpT6EWKhTnrgdJ65/xRRAuoHprdymqckin6fodsX8NG3i8TQDO894CrkQy
TUg4/IBCT2tHqCL0O0y1vI7iLN8HVr3WbTleWpMOIJ9ONEUeeMt6fSCWnS4W6WhDy3sQde25U81H
b9IvOxRc0Gxt9oZafQzWQvChIimjFkCZVQaiu7gW4R/1PLuzEeYpYgXfrQJh8H0hKaHuIDFbBGg2
1j5NGCQ6o6/nP+e8Uw7DjClxb4FnoP0CpGYxNOAZyGQxQ5s6gGxl8KJNXgTlBq8jyA5NtVZ5mP99
x+OptELAJANeXezcUZo81ZfRw6l75A7kIY2+Jb7vbcFZR5AbjWKPFvGa/99xLJvbgUCUgJWyc5bV
8gCvQYjR6CsiaCQ4sZgLbqzW1rZAX2sllp0cijc7JFC0DLmxDzcpQm0Tfo2IzKAc2MtcIGIsbjwr
zNKtFE2S/rGsDZcZk7saQAVbdu7VL25sYYA7bWowMLQB7Q6hQt+qiDFO++AmmZHqDEH0BKXIy/Jw
UpYH4GxCgwqhvNSsN2MfRJmb6IH2C26YiRZaEa35DB+t42LI5TomEABNHA0cqJ6FK6nxa2RIjZuW
SbcyuaOw8gbDB+JAdkXfWl/cC8E0BiKSSGiJjmV7gVZJ6sANylb2xfEo1DXowtPo5EpFu/1wCVEV
7SKjhKVsxbW2KYNuQrFJn3bnP9TydJG7cKo4V+xy2USJ9HAUmFkSnk8gXVrPEx8Gq8M0yW8vRsXo
bAyIhocuX2sPHQ3JivFwmWHbM2p7+eZLJEMZlBoiRVhXkjugX645Vt4IdxLKSreW2cx6dWOzOT/R
+fO/DyMUxWTStBl2yKCALQ8nmgx924kxRlDNNrRbp9/kO+VadtdKG8tOJkHjcJzFnUO22OplwjiF
++Nr5uK9Yf+6vHs+P5m398i52SiHsxn0OoD5xyjyDkCBjZfHRrpB5sXF/8TRNrTe7E+VfYl8vj1+
Oz/28vF5NMN5475Lvng+J2o1W2oJe9XpHUDw9otxbVx+9F5druR84N+NMyQZehAZ46j33q6EVv8V
QPOlt7Ivlrf3cpTF9QIdP0qEeTbTFm8QB+FAJ3OKlbN89E5ajjKfiXdzUcJKUqP5e12Xm5+x8/iq
7Z6/fl5zznwz9z23LRZhFyBzMkohw5QbYKcO+gP2V8Q2byfH+IJ+58XKTpj38rnhFiHXwrGS8MFw
vfMT0Vf7JbMvfzufVxIO6UTAeH90l4/ztM5qAynQeVYoYDkUixw8gxzT1d3n3VPtfkEraO2DrYSL
JQGqMZXCCuYxO5eHHQcs3Hyb7JcvN4F9V7vPvAlsxDZXLpa177cE1yuIdMjJ/P1G5+e0FXc4Ym3q
bXATXnh2smvtle833/Vnvp+8iCKxCocSeuE8ycBJ+Y9qo/jpIM62spzLu3mx/ZeQHVXAiiigc2nP
iHa786BC5FV72cXG2pzW9soiaJhGVJvZfNBM7Xvr7UO0kgsZs7MsRopkreH8Vmc7t4CL4BGZgqwh
OPbXAia3+DS4xhYPOOdL6Ibub0j3BGLR/r02y7f889zAi3jS+yleAiUDK5/ly/prflNeKj+9O8qN
yG4Xz+NjdhneKnfa48qOWVveRYDxmyHU83nHKOwZlBfYn92eLM/xbMMpNtnGd03HdNYg20fFluUG
WkSaUc7ipJ4PBg3IbbiX3MfUmexXzy5Y3nwr26v3+KkAQEMQEP/MlgPHfRix69hMM3HespgQbyTO
h+JaZA6qY31KHSz87us7FK131U69si5WVvlUXH0/9mKV0ZMZExok5Cpuv9G/Jttg229HN97WF/J+
rWZ26pPST6BpAaiOpvjiQRAhVB2NVVHbFervogT7FnkqdXxts8qNpvvzU1sGAtJ+6p4UOxQFkD+g
hcNV1ZtQ9oJEnRxBaZQt+kioKktViMfaOK3EHHUR3BgKZCeNfjhIpoEu1uFQiSnrg9zhnOXBUv+U
W1kGHlhJVmLocvXmUVQ6WLwGZrbssq6i4lKNHyRyRw2s3FtEJ43LqktqRxzl9DYq0vQLVCbp7sOr
SAWHZxVJO01Qfd4/77KJHKGEqi7wasRwstigy0pMVZv0Hrn6ZG0vziHsfaRhgrzhKNwAxNegXy3O
AW481WQZwugYWZdZDtoX9RfE39BQqrRciR8TqWsQfE2NorepbNeCjTZiepdEo/dVa7ImR0Cg67qL
MtXle9AkJR5DVViYdiHim3R+XY6Sb3qu9MZ0iVITuDB6V4cLo2KikTWGgYml1HV4jgiJPxIN0awN
3KHG5xUZaK0boi0Op91zRefxxa8t33QluoPTNioUfY3hvswv55+ksD9obyH1io/R4U8SEGkKcYkf
HCwWYoSGFdnGjCJ9ovCPGEFfdOblWMhcu2E3rKS2x4dN4aMBT6MeTIVeWdxOKLkK/Qg7xKka80cJ
eONLg/jQLYqbayjREyPNTBqdNjxVBbA8h5P069nyzpIn5PQiHSgFXCc3HyPUQulTvZ7/yMfnmhIm
NS9kA+BqiMuWvG+IQ5ojZeUYSOFsmmrA4Kn0V9onR48cPhusSgVIJg1kroB5xu+OmE9zQommtnM8
IfDsAUdRO0p9xWZDpZdhO+UbI/GSjSxG6jXd/ORVS0dpJYIdHz1+A7ibma0EzGxZaRunrvfzktNl
ouWsb/zcEz6rsQgm0GrQwrlAvhgplw+v7hzHIPgA9ZGo1B/OO9WCVMkTD6J9naOAM6rxNk0NZf/x
UQA3z80CMAcwZQ9H8fuO3tQYdci84OeJEhIqw5hpf3j9VFFhIhKVNXqVb9/43TeMRyU2GoAhTtgX
2XWi1pIbCqjP9KiHumk7eNuPzmrGbICopAPCzlEXe0YexTrBixZ9+Cn0L6NcmC48PFlWHgnHAcWU
NTibTIqW2xHoENYvLb3RrB38YTNXFNG/SRBp34umJmzMVOtRhh3q7sIT6r8hWf/1Mvwf/zW/+yvs
1//5b/75JUfsaYaNLf7xP9fhS8W3/9389/zX/vf/dviX/nPbvVZNW73+cf1c1H9s2+zXcxPm2fLv
HPwrGOnvX+I+N88H/7DJmrAZ79vXanx4rdukeRuO3zz/P/9///CP17d/y+NYvP77z+dfKasT1k0V
vjR//v1HF7/+/SfIrPn1/l/vR/j7j2+eU/7m5+esef7DYWDQP9Rt/vq3vvurr8918+8/0YT+1wyB
NmYwIKwkAsmff/Svb3+kKf8iGsOXeCvGwkfi5Gd51QT8NVn7F+r8aGBApyLuALn/8w+O2l9/Zv1r
rgRSVJ3xDOxs+c//+ZkHH+//fcw/sja9y0MMzP795yJoc03OI1MBNinRalCKDg+hivRuXbdt6mZQ
q5wIh61HvW+UPebq3cu7Ffp76PdDzef5XRLx11AW2F/gAtBHl5dg0xpZowZolnJlG04ndZqTTNav
fzIITXzqsqQr1uL4ccn6pgE1yg3QtNkEqDC6WPxMK50XAsfRZGgJ0mll8WhyHl0NghWLiVyg02hm
vvBpNEa0/vE+Gm+wFS2Ma9RpEUovMvzkHQW9RNPFvxuBIqEZmuqT2FgzBajy+ukXPRzRwwJQqOhg
OA0ChIItp4pBPRlf1xQfEuCOloMjULRDCNcMt+HoDZmLgQpCVgI+xyhdqYOA5XPtlQnKop0/uv+X
vTNLch3JtutUagJIQ998igDJIKNvbnQ/sNs6HD3gcMCB6byhaGJazKy0l1WyJ6kkM33V3828ETeC
JAA/Z5999uqD2vnpCuF9tHKZf9TCg+0EAxfYzRDmpQeLpdkQDEUzicw1BIRfMSQjzXdyfevXyNj2
ttMOdRAsQUlYt1vqn7hOJfFyDJXKVNOaPJuQaGtSywL3Sxt3Obn9VV2SToqrLTVbPkqQjg0R3F0L
gCtrXI1+J+1SvPnaXS5JnQsJw+y722oX6taVGUa/sE63NaJZd2x/+jVUPgTePG7AXW8EjL0GbhkQ
IWhC9/tEzXP2LIJWOZnd8iv/PljU2dEdrApbjfT8ViRZ2Q/cwr3uBNQ3OyrJrIz6KPhqlyG5a6Xr
kLe/zjFnfEfuP0snFdA8/n+73bZiZmGRvZf2hgw4Y0CwTTAyfEJ7ycCPRx1fSSs01c2qBuJHw2hU
BAJeXMePzmDT3hRtGHyC6rFQaI0ZH9vJlfbVEHi8z/ZsKS8NyNO6tYdmfM1dvZBfFa/lC1SH7ltb
dCLmQjD2hlmTPGGSKOveSbUKzHjthKBm08lj2/uavAC2q0zklz/hiuZfiOVZXsim9cEWka4xbbzg
HlqZIlRx3UE2HZ8M4cKfVC3lQ9BsyuwmGdavBP0On7DtW5v52khOPwdMnoneCV8r4lRvtzKarttG
xg7Rt61e97mI9H0eAAK96ospfvdkEn4bAaQA4EHJl1nAwsRNUPrOrdOFfBK6r9RLItrqeVZJdOra
ZmLg3QfjeyII28yKCKgNMBVrvbIq4Gj8HsX4GSgKfXJy1rai5PHYyhVcul/nhfhoLtd+LI5w0gih
XCOfIKTA2uTXTtAbESWHHwW4Zg03LtxKb+agJCYvDUZC23ZwQMUJ8UYj0PBUZp+KQJUaeoY2jxyJ
85o6bt1h295c8pS3YAL7Y9VL81W5pn+cuyj8UfVTfmXYzJh3Yx1a76aQnx0xc9xkLIy85ZGm19BV
uBkceiGmX1e6uCJWvajHmqD/mshiUMnwz6gY9mvuE+tJGTTBFrCEcx0aY9+bQINdKSGYQKVxQeDB
aKrHDxVbKmchuly/h5YBMdK22K93Eioh9JzKEidVDLnZa98mJd4qrT7fL9HSk4k8SDLQCbciN/iS
Humm4RRXX5dJG2zW5N6y5mWRvbWDwmydNiak0EmctnmceoLP9nkHwJ1gVSpdOH6Qm88uIHXyeLVd
fymIjw8Beijh7Gy3BHVEWjRApiXRLfRbm+OYrE1vWLJB1yVykSonfazCpXoe5tzLah5BcSoumICd
cofOS3W8UkuZCEZ42sueTNfe2kLyVsuVBHHS0os39BvHZHElPXkUMVly+42JqXvsSha3d5FPpBiP
sZV40+Jy+1ezsCH+uDL+AiSWcFQ5Gm0Bo6JO2HfV79FxLnnohD9XCIejZaIfARDp5iZotXhuinx+
78Hd3EeN8sL9uOUd5oWkLY7r5kIZGGAa+ymzrTIi9mWRZbrVnfvuAcRo/2+CWK1QF8TWaPf1gso6
/h+GscKPcM+xNVewpP71MNa6hpIXwALiVi4c966PLzGklKIJoZvS7s0xUVb0K/ZXiNftAkNp15Mn
ZWV1OYLZnmqvePBJDjGZ08/90+UdmbEKBPlNNLvOO8rWaPYARSUcvbptG3juZX/HHxPYomJxX0zl
mtdFttrsa8ebot0Wzcn7op34c+Mqvqn7nmi6S+3SZpYaDJFk8EslsTdm+TZ1zQaz2IQw/KoLDjO1
Rm6dXRHV9ffc54YlKNB3z9ptNk6/GL7DLpy1gnI4ksiaTlvQPQSqd+7imCN6X7Mi9x6DZv5o1Iiv
zI/tBdA5uc3niIRUPB+xvmxQ0Yh/V7Olh32Tm/Wr5EdBLmEI/TasTgkeJBHN++jMTciSc5+/eJa7
fml6aV2Nw0KcXLGhxLNQYRGEW4W2wQ3AXfXY1377rU16kow79kiAEBK5v/PLyO53FYn+d0uhPSer
mHk+biTVvDT5UhOhCVbio50HgmnV5K2ZdLV/8IH+nrAHVE9WAbRpZ4/RgG7kWOOBET0RlVvRNj5Z
FZbbgvLVbcjmfJjfYoHExd9Q1j1DnalerHJmMXyOpvltMVJ89RHBK05xe/t5GV0MO0BywUCO+FTR
ak2NBHKwwqAlnnxpnkccqeMu9Jv1Bkfndj9A03zmrKq9HS6b/kQACABHGkcwDZI4gRKJpHXfIxkE
zq6qC/WBj3d59d3OgXpTx8FZBUAWQCcCiRsjyq10jhrw1rWtO6Aa8eh8ySFv/SCcdpqvmgRX+L6R
6/bY2sp+aLscfK41NPFTGLTWdxU2ok7JtEYDjb0BaL3NxvtNVwcxV+pEPjfXT8D5CnCGrANpdAny
vvOJTBdh/ZYAxN6ZRF9YSv74tnnVvN/UyFHHEXKzqKG6D9jkbVOP4+nZCAI7U8O742fCGH29rbh5
WDOcwTBxqgABNl0BFLVKvtSF9N4kgIf40IyN+9w4ynWzYY5gui7QKl/L0vXuxjIo4C5FblVcs6Kk
gTMkRGWkrZRcFpXs1tcyXhJ313vSuhnN4sLtm6UHBAkQ4IMiAxegqWuLeW/54RDue68dH/PIzn+s
ncONvOII/1p5obmGXQDUMIGYEO+22WKcD0VgDndBAJKBI2ksfrkbutQut7bhWwKegOXpauy+cGy3
2CKrMj9UNphk07iAd1pfBLdzOQ73EBTK56B34bgDFicOv4HPsxuionsmEn98HUQUvFKKxM+Nx+sl
UZbkvEOVTOF3Q7wAWdEqEvde6Kk8Y7XBPnPAxlwVPMa5gpo1pLaaYvnWLktspcXQLr8Qa81DUmoY
PEUyjTdx1GvK3XLI52whV2f53wgF/1Pn5eKtZ1MxwAeBAhL+09wNqBy5z34JA7Wyhsfa6pOMqnU5
Emwfvv2vm6LfRb5/aL1YTmTRIsLByKJn+M8L7AQbjvBGmyEr4aa9kBPdWUivVv45xBbB0SpaCz66
ZcW5Xvv+IA+k7q+/mnVIvH0VuP2rE002MVCq6p1rIDcAgwSZatbOb23n2pile2ENN7YzPlf3px7n
DWIy+fSnSTrRHUJE+QuHi3pku2z9DIJlJbPfBB0z9q5KvhrtmU9HLiHYj97Ej1PjFi/h6G/f2qVu
nhfPVXANFvqjP3Suf0sZf9UjLjtEf7lcLmLJP0gZT7L72xHO5o+ff/vR/e0OBeLnP+gZf3z/3/UM
D9HiEjzKLIUrlz79P/UML/6NpU2k2Ms1ffkbzDV/6hl8Fz7BGOMpkwqU8IvW96eeEf6WEO3DohrD
BfKeuCf/FT3jMtD565XOlt5fdrVwTfH3f5H7/j/tav3TmOn/ZVcLEeOfXiJKNI4zlCHeaN61fx5K
ujMZT7iVyXvoutWCFFBJex+1VBj7Ocn762FpgiNslGbY2xoCTKpUAAGkUKYjMLsSRXKfjISsUfcr
+ThVl0T4UoHs2IQANEC3mb/1LDM7qdUGBcm7s1fj8DFTVdOXrKrMDLSS6Og2Oh530erV0z6wuP+x
SK/52xTleECrUSansp60t3PE0nwwL571KW7t8N2DlcqB1o5DcRULt/sFb0A02TKOS/x6CUAdUrcn
DZtOW6rH0BNjizqF1o0Ps3Ve/A6Rh1TKAaEkcITZIKEA5MzmKqmBq8dbm+xgJEsr4/T0P9pcrUQG
D4G9ZwemyWIAQSEIa7u5o8Zp/BTUxTrvkkpQI4U5ybb0Rs7a730rjug2xDCI63We6UFtr/SRPix/
Dc6sUgbXdgnPE0gRPpE0mYV7JwPWsWjhvDsgSsB9nWZ78nvxroQFOJJuZwT7CTBLZV5YNYy/LIBg
tJ/VEiMHjTnQ4XxqbYZDyquzHF4ulf8EY2HPCrGAvBhTbh5624yKRoDPPXX07AUXZLqenjb2WI8I
C511T2Jh9MNIACvH1l4njTiLw/0wlkRuX3u+XvKTN0TURv4Wd+/Q18qfg6Lf3OVQp8O9qwka5ONv
ko7UhjYqwAw2822SwDrJam0lp6mHcJ8lRhaw00mvqu5pIpmztoGyNZDutqHeBvRI+PZAYv+xcbd+
yLAytuXZojUSNGm+JG2AxUIJe4R2XqeOMxffF1iceVpOdp8fcARV8a4Im5K3cE2qKwwj0LMTLrGP
Yfb5F12JPpMm9KNfiRQnltuQjXrXgQN8aet+SY7SW9xz0scb7/lM4Z4Wjiw52gTVc+xCpz4rLehz
WAc3eq+j3Dv5Q0xyPhsfqjgy45xeis6vgkM0zPo6aVpiSnnXyEIWzBRvppDBYgbAsK+Pk9gmEsah
fj0MMBC+sjw/wz+pw416rIgsQATr9ERUhXjtsDx+B8ClbygKidoHEDrIbJsIbUtF0UbfdKCN2Lkh
BJhd0fICM6deOKXX0SX/vM1BXl4qm81LAYQzASo53rkKp8kNjkYhmO0cqonHbaqmp1oAEaRwnoju
dk31OsxB8WYFk/U9ipgeZ8Tymu8zCPHvConwoa7ITN2BudTubrZB0u0itkpiNA5SQsrhd4ZBPZNV
IiYBNmMs1iQAyDEaTC8FIswJCCjdQgn+jvT+ZDbvHVuGDxo+2nQAreA+DHImtzOWqFmH3BOyztxQ
TxQOan7YFtdxD5Olk59R0mlguIFfPQfbRJE7d1X1BYlupBbpbOvDlIRHHrx61uE+was14QVHHqGp
LNQX6bYL0FuntMPU1NyvqUeyW7TvoAUF6Rx46y8Jxvt9Y+xwGwASJHxlA+a8W0TgPdh1ByO4NM0b
XCzgWhBgBpMOEVbi1Gf04mVouxcSMTFZ30K/ZUBIlMZyPeQ++UOyixBclFfK8UTeMiycdVHEkCGQ
+ACb2UTYUhlF1dPvJ/e/C5q/FDS/xw7815OZ//Z9/If65fcv/3v1Eoa/hdTcv6fW+i7jTUqUv09j
Iu83qhMbuzpWEbagLxs4f1Yv0W+E3F62o1n/uRy7l/L5z+rFcX4jbASLO8tvl0kK2fX/wjTmj43a
v9QvHiUUAz0cRw5b0SzE8qP+Wr8Iw+5+wkiAdL4ZTrC9QuhYxqENMjL4uan+4ARXOiL/qPf7NC+l
vE1AA527OZkeqqQa3vOhie77jfulJ7T22U9Y4NVdvdR0paLksWG0stOtWswBhO+FygYdpPWs6TFI
DO2en1T+0YnmDEYMMuJENmFnWcMb8/b+PekigYvfG7irnJozLKr9+sfvhGFT+NPdtFhi3C3wTs7R
MFXHjSj9hzpatzJdehAlPsBzoqwvez5dsLEAGTJdrpctTrGYlHu31uuxnzayFwmDO3e+ntlMqmb3
hgNifFzkWqRtXVZnMMjhrz8IxQytkvuyCqojCgYPOndw65tytfxTbQ3sGTrLF3ojpgy+1+Rvbh/n
N6MOxTkqowSC9vgip1Lu7XmAUtlVOwdu8JW1bfJhI9rs3AMaexqq+kEUqqIXHsVdP0v31pezesuH
rb0yVEPgRy60Y2N74lUFLUsPKxuTWRRO1nGCqPLST6D76MTjV9Yle8ZBlxLD76orwFGcgp2Fr0Bp
6H5YbFD+A8MuUas7gcMaVE4qdbHe9tCB91HMgGNY5+2kW5HsG5gaJ0S6p3mtz+Qfvk0JDFOvfCDP
lxIRckbqVkgYDiw6QAYXnNgaxDzC2AC7hFzBlKmJNRKmNwc+Sne32V59FlNbXBNlcwEJotkmrhwO
7rDZKK7hABcpVIdpuuQhxzi4iO3FXhJ17qmA7PcNDKfew6IM7NQrOFnD1SCQ+wbkeTh4+T3Ezien
lWg9fseIIkhHgX7N2Gx4WkdbHLbKNk/WlkdXSzStKcCsMq3CugTYEs97usDwkZ/QPSGJmqxSjjh4
STHvm6lvrkpy/HdDPHfZzMU1PTYmWOIDEb1gFKWqQmi1RT0HB8B+hF/m2pnKzyaYEuXv52VJZHAn
lMuCxY6iM2iuGhQHtcKXQ9PxD9VAxtRlOARS3cr8bSg657Z3oHPAb3Rbbww5f9q6WqanFYjaJq9D
aJGV81CGsj3R3orMU1WX9eNAMisrmT9jYjgyX1RUZo2S12Kdux9hsQ1f8iY0mV2t62kEKfzelKLk
XArs5GEO8iZVI29WQWphgz5bqL2O4+6pVmV/IPvbg1u35t6VMy7hDUvNVbnznMH6gMStr0XtTmlo
PMxZxq3v2HqqPuo8So6wF/pvrdsnR8g70e3GeMJOAzevjgX82afNiGHeBUjJZF0MSrzMi99ch9uY
uIe5iHlILZfd+njSoYtC6XV7EM7hHTJn8czWxXClwjHh5ffEggrgVVGdtMjFbdzut9IPzuW8hleu
lU8PSx6RJSiSFy8ehxu3wJzM/jJL7Luc4u8jsOvqiaDuCSZ0AOgzntwfYKrXV2ZHsbOzALbeYAN5
3Fqv2DeaGyaMSveZxIfmKVJbdBNpu9tLkp8fbE97b1G3EcJIO+BdkecZLGfHjBqeBlNbSO4c6b8K
6pGXsUdPWtyaekuVrXwjqVo9FMw1KKEnJ3q2fUkL0siRB5fog1fmd8duHJgHRG7RHN3SgJiyPKJA
C6tMjvQ3zB03bDY7mulZw7ktQ2tPTaPugP0WPDHr6tFMKJD2BqxqR0ULPJHwfxaOWr8gUQ221z0V
qdtl/gDWTSI3CSTuRX4K4CWkQrVk6ImOiWNxaZIU7iH+u5z8FzdXydcGrxkFNty9Wztfg2diwLHU
brb9kMC4fN6KxDvLWfpflzFxAE3Hwa1RtQuQfIXKTESZl5mojX6B3vQLsq/6+QG0kLsPS1ndVo6y
3iU2h+HIPDu6W7xgRXs284lnEfZLpVd9iEiFfTTOwK5ybIJrybXyvQMYeDRrYg8Zv2q4g/Yhm5LR
du+d7LnXmU8RizIMs0250Teb0dWRhA+jALsVE18yS82c0fUyy4Gt7oZdkfmR31+VVrBkhDJM38NF
ixuH03JnBi++a0HdQIkk2eoOitt2BjO/PEYJxTIabI7vPi+ntMs9GgIxNU9W4igaSVtQ90qpT5Nb
WQ+TE2NjGl2v/0m4aXdlVLF+5PbY3A4ep3TaLwJybhu0t9PaLoep6pkKJfShBtLONH2Z600yo4r9
+LQUqn7LCSFOg8mpenBFUXBc41Y+rVtnP8xh1B9J5aj2sRWOdzx6+mu7r01mVare2QDSFH1vWG7R
d1oGJzyNRRh/LSKUTCpU+25hZB+SuH4hTCKLttlkKf+r7jx9ZJO9B+wciTtI7NYtc90xtft+KjLm
e+2PRtfm1eemPhYFhxpOxij/WCqVEza13eo+hJLYoGkvTtrkTGI6t1FNyi7eebDd+6QKkgz1/YOV
JXWuHN97pTEgXlGr2HkD2lCkwM/Ld9v09rfW+O4e+Kz+wlNvuKtkHp96aNsP7kCMVgHiLXWi5osT
lncDfo9MQTK+7gO7um3Gfjoo6V2xNvQsY2LQp5AQyUNdtOfL3nMuQ+dWr+6UGVdPB1/4YOsvKSdZ
Gebq2qbTPIpoGI5R0NZZUxn7Vi2B3Kmh6bJBxuGJe9gm79ctrkp7DM/SB71WkcT5hgPNSRks+9Ck
nfWGlr47zzYOLQ9cER2ZVV5JFNdDTpLwM2yuZM8xlaRr6G0PUHbW+75MijcyY/o7eIXtM2uf7TEg
7+3oVEV5aFpnzZYwrw66zMPzWnbzPb4jeRfE7Og5oT5wn40aoDrat+O9SM/ZD5QHa1yRsNMWt93U
nuOm2MtqOwT5kM1LfHVpZQt73s3jZ+/9dKopvMeKCp5Wu1BxIcN3y3GLQniysvHyR8euxBv+gCN2
F5UtDkov7qSPDkzQXR4ayh1nmwscgzSV9mLd+OzNOrcNF57JRjL4UGfqn0k0JD897Nip40/DlrX2
xDeI0b6bYGanyNEBrWo03bi94r7Uw/hSq97PllgUgNu2IkSUz/Pi6zz326kJmNzQOV/u+hUuKOSo
NyjFeeZ3gIkHTBUHYZekiJamsChVSWroN8fZu2C2v9mwhlIyS4Y9KPFlD8bQZgqGBj4r4z6ISB46
l9ac2SQBLsyb38GqT3tLgAWF3S3PFKjL56Lt+TB22k0Zq9EGS2xwkw3rWDbTdoeHJASODj7KqZpw
f9F1soIYiMxa154yTqrkdqw2cZjspnvEpUX1OpcVjoZEnn1LqKuicJOnZF7X48jleiK8jrKQkEtJ
VtMZjKuXhqIKM+Pp8BiunnW2SWXnS5jlzQzbMm0cN5ONxBnRCVgZc+JcD53zznzpBZLvm3Ux3UOG
p87sKxeSp3Xt6SXcOeH6mHvLhURKFr+5eIPyYtyywXLWJzUAM4BCU2SgcKz9Ql9+aKz+dQPvndWC
T7RtIz6zcsQsK+efnjcWezWgcEh/YUoWXfe4iPaeG5OuImPBw1Dd+x71WSTzchds4R33Cn4ddYLR
GMCWViKdgg33gH9Jhg3ktzLRPJIX5WLY5qv7mplj3NsfE+FtvWy+hH1yvzpDdwU6EytHA5K3JDo+
6+2aBSdmn/w/tldqTEr4sc+5WOlVyk5/2CrvfmpHm3LHkNu5UgzBQLPi7o+IgN+Tx6uYvvmfU590
16oWzcEjFPvgRUN8LKeyfmqFMOmqbLYIy+lF+0LeeSCSD0PnHyMrZoy6Npq/g3mv/OhGbnmwmyfn
3fXIfwC8UPJQbr9s43waIfzsytAlMGRViBpkVw6XOFqVS3jkukpzAiHTOOJ9c9z8emJA+VQz6jvA
gWz3llWOJwM79rxORXKSCd1Wz6lynDwX5wwbGGfGxfahnNp5vzBlTOcJCmVuWEN3o2p6DkHZnKw6
3pGvuxz7MaYOL/RD3ESvuFRYf9EbINYwRwGF0en8WtWJrFfOzaieX/R2jO3WyXpRz9d9VE5774K3
68OHUvXz3t9GcyVg105ankKfUWez8W/Fy8Fuflmx2Nn6riJm+cypO1+1YOeeSYkqTj62AlDem5ih
kTqKY57CDoZy7P6x8/BvKeUvUgpJIJedxv9aTHn+7//R/e3hq667fxgJ/fFtf1pc/d8ITbooIDTR
WBwuysl/WlyJi0Y2uWTKIWlcUjH+FFWc5DcmS8QLXkI4+ebLzPJPUQX76yU9hqxt1uvJ2sUa+y+I
KmH4T/s5XBKXcQkjKe+SzYUb9x9FlfnyZNEyKbKWtRSEBpwHZr8YN/xZrTr+Mi1e9YlMoZY0KDsS
4NWGD014jjJpFJfL97g02r9G4ee8yK1K3LaRKj6rvlRswLlJfhsLJmPHKi980M2+sMwn2kKls0Xp
8NUvtmV+LD2nTs6alCaUBCjd9s3QM23OqqbKYXsSZfsZhEF1z2TH7w/YZqr+FR2jqKIUpq6jvy11
bV/by6SvrUb3PCRdbB9YLi5uLtdC499t2lvxsJhOf8rRLex0cpP5wy5t2aY1DO54J5bBPMzucukE
xqn8EULlFjdznyCc49dKeJSjoZuMBZvls2wH2hWMeKN/0yQDSfKbMPOE2yVa30OMNph3kiKPdt2U
z6zggdgZcI4ADETBZgEzK6fG+yn6cb1BsiAZzIlKHnVEBCEXkChgT/t26+jrjCot5vGmAEXcd+x7
p5bIGfnqzdU3shIkn8PNgkQ+GMfa5aGbkMRuX9jEtrMN39sq0c+TKuWvSevljJmxfKt8zCOp018q
VcG07I7o6/EWP7Z6VIEgdJBWxb2eNAdwtuVy40iIEd5SWL3LhT/tOB85HdmdoKuvd5coz5+EaUwY
UaTEOxBH1NgZJzi9uEma5GXxVpEcyQpPHlZV92LXqJqzXLoJLjvZ2MykpNms/kDEofPd7svoKV+X
TgM1puAeVcvb2FfrNsKE3gJ0pH526luuaxYXmophDLDXGMouQ6q238eybz4rIJP5boJwehhxzQzZ
JpL2u6PHLj8mVdF9575qviEKNoI5kzvNu8Ff61c55J29SzoXHrzjgK6fmTl8raatvu1ZKDBpE8r8
NW/6EkB9aygZjDU2DxvMrZDjMlKsFwxFfSCnBGNh18USfKwseYHYvcgHZHiZ/IrixXzFDupRVZS2
/T5uct7VGpJiKhkKNIeSPmGnvYFPH1PIFjPxcpBvMG+iWnqAbXOquipg3yZXGB99LHsvWLigCOMT
5PqK5MVyFhkblOsUeKQ5ltik6JZi7Iti88nJ6EJBMi09QPy4wqmuU2Hl1s0SOphjOFerF6ktKkOY
P1azZ/KpkDJZ97EzxljmCTB0/GJ5hf5FpDiuSaOr4KZyvUVm7SjxX3XTEmHlHLrw++wYiuxBLNFn
PLaKvIXWM4Dz7KR/FlFXvjpWiw9vMvbkEDxoyzwr9da+tbZUxaFx6qlkmKCXApRpGfk8DCyV7LGQ
rTdiSloMZ922fJktnzpUmlqSpmVvznxk9LVsu430ECoBIMKCgPCSAVQe+xsdoWvXSdoD/z3z1tpZ
5y/i1h7j7l4zOnzKnWMc3PmdDkzWqdx7mkKksWwLXS5FpwiAB7HnVR7aRS6vc6WJ4o9Z1Nl41uS+
v2coqT6juIqjc0Tf/wjIV/4Il1qJrCjlapNjTzN6oBaiEHVbqoMe+NaUaX+y9iA2Q4X3lfSeXUNF
8zDLMOh2E1l5BUM5vz9ZY0fZZ1emUgcx1+ZFLfSCMK3z6N2Wix1dKx5aSzp6Ivlot7Dz8ZUCst4r
e8FxVqllfhE8DjGKJox7diJfQRn6Bdy6i5mLLxHVUD/RvxKhyYUczAcr9orHgbneeSFEDeQCQewt
YjjzqKxuwuYm75JNnfI68h1sQROiH5kpyV1ptcPK7qPjvBQMMMedqtuq2HfO5D0v4G6YVY9r9KPY
EszxbleuTyIJm5+GApUZXTGiD0/5to8JCT1XixWE8KEguBMhGdfJ3gQNWHTZM6ptRdBJvLmzXvbM
Lf1vCzJklDauVY0X4yPSNYdREO0ECpfY+5Vq8cdHEjS5rLmuL1rKeD16Ldmk3jh2YSrmRkRZZLaE
HSJg0iX2Lel3qbNN4hR2kgXNhSCdn16kRXgtVNkxlK6VA/ibYZbLMlqTTzfskAHtrUiX/6gDarb9
bFZsigVWIO84tKLaeEz41ueGbNLuFjtZGNlHQckRO6zLs2zCuTi2S2u/DEB8YpIs7TW5QgDD9L/M
IDf2kaS83y9OUdeIZrpEzCiLFm068OW1wqdqGFAkLTlmqtJJ6nu5+2HHnTVcBT4CyN5rB1+c7KhZ
vZQeenmJxYXV7gvG2QA2TOjvZm92Uf3imfc/kr5CZtON+bZVG8Au8Tsaz260/wUSsEYj6LT5JlSL
6KFkYLYrW088rPy45Cpj1SDvX/wcT9Xe48mod96MZTD2hA6z0AzJ5xJVpjto5iwLNqkot4+d10w5
DZtKbjDbCag3HIbVvrXzXh0MIYeGo2ljmo5ZkDEv58JKC7BUBY8re5Umo1rp+zRW/Ipx0IofQidL
d1iwKnA+WytXebxVqzxWmPrRj/XFFEGjzO1QLSO/euf2/Dmn+Q/RVL2ADHFEdcGIJzDrTRWx7pLN
2lLPxNKxdQ+4b2BGD+CbHtmrRKqqGWyPb/XLzyqI2rtENsO291RrnlyelH46TGXuHpPCi9XVVrb+
kIqu9YarZVjK+F5s7RzuF9QK/qmp15DX14J3vhjq2Lqal3kkkcJhTfcsS0qbk7NYHXkYS26HECxi
DhDiM+GvDgsSTIoO26qTHi3eSJB1XRoueFD2yP3OrxwVakjDpifIr9zmVlwxQXMCbMfWOu8VvoBu
P7Rh96YKg/N9sVrrxlaebaXK2ygAokWsHZ5MSQdZoXe8YUfM85OYsDUSppfwFB5mFnGJh55YmfRZ
6PnGRgCakiiVLU5L3q+CggbV9M72ltFcC6dCJWPGzGVM3li8PapEyZq5seeO70EXjum8WMPLUoR2
xUrmovMjktB08qrff4mOW+nU1bbkRiFvOeTqkL2bIWJEXoZquCVXPRqcf43d0/nSJsatzlyBIUGG
Wq+IpD3d0x5qaPhJlmj5o9JTix1naarhWOrIQnDA9+sdhFV7H7ExWBq8usQ+Y7z2cnrZzbGdLF5C
a7X1E1vkebIf84lXw1qFjWygp/4tj6U7YUrlWqT2ike0bn6Cj3cHB0emAH4//w/2zixJbiTtrlvR
BlCGeXgNBGLKKXJO8gWWySQxT+4AHMC6/h1oYzqIrtJfZFl3qR4lk1lbP3STzAwEAP+Ge+7VTM38
kqBl+MjJTuCWtmfe3wKWONkuusMH0zqbm1TUHU9cnhJEzs1vcCPXk84NzpSbP69NDneS1+jcsMug
usdi8SsR1ozXqU5rw37muqrvqiitJbJTVZ8aVXmoH40pfythMjArdzo0LIqo7Z6gbd96zaGW3A1h
87zKYonsdJNlTYJkeFb20QdBNkKYlMXc9Pj05WE8ehSUIyqFB4+WiZfoEAdUqFbzGXR+Mkda39sP
vi46pLn1QIVoJvP0o/GK2dvGpHl1YRx0GgCLl5TfCY0i54aGQ9Cqdyr91ooRvq3O+y6LSqJPt2U5
qoxpX7lqbhYpf2BArzUIyUvEyO7ExncMfHHT2VPuRAP0xDnJlfuyLP1MkHlbgWk4njKeu1Q3uwPf
OFvAubb73ayAwpgjiCHbCgQUX2J/XmIWL0YVMrbjkHK5tkOUGX3KS97TxBVv+xaRNPOaJy1j+3k/
dT5ZYdY81AjroS4tFofCcTfjmNcflq+V114yyq/cz+mXBfW8E+ZaoCdhEqiMdBoy6gYupWZ7G6/O
Uga6JIB3POeMHsPKaPlNFoPKoIv9tdBwHHgnqEr7vZoKQh54NOPPceFNGyqvqe9nv7GuEyQsS2iW
fjnuqZ06ixoqKfJdnza6fWB/vdyIMR3q3Vjo/adnlU0QKZZ0NrF2pq5RQODmEI65MhzeysnwVctM
+4EubTa3ldctGC+y2PX3RbPeE4TBOXVkwZg4VJHWNO+kIOkiGhCTXTE0QrJuu6P6lk+GcSNLLdV2
vbdYdCRCiQTlO+flRuhKuFHh6/LrqimqQ1vZw4NQaePv/9Tg/x9RmqQg4JOOASARHKTC/Nwrp61G
8UpNEVp+435hofuGw8zvOpWfEOL/jILa6CUMHZtaHTXyxezpTyrNsplL9hLkYc6lVX5hZUKzONXt
31Caq1biT1oKgFNIbHOVS/J6Ip/ll7Z/KDN3rBq+qiSbE+wp+CLv8m4KIqg9jVc93W1Vt/XOMpfk
/J+v4sXD5NefjY8r3Xpg4r1w4Uf/9AmDvNHjIq8svA+n+q3qYmvh7plqltMXNBGIwtxY9Io+GADL
4rBtk9qIFAr5FLm5rXl79Gtz8tiqxbjunHn5hoLA/dQslnvMuxxKZ0Mt8at0h9zc/uff/i/SdC5c
4OhoxtlaME75RYSC8WXJHLhlkVvY9G2IM3jdrAZKwyL++Y8iVY3xD6MgnGBcpkB/1ru0pZ6Kgvw6
XhljuiJBC6Ps3tkWQSf+hplfv+5fvhL0Oeucak0z5Nb7+UflKBeMaVB8Kqk3V2lct3stXqAMNS95
6HHD3cRqyMO8mqxrFpZ/F6e4fpK//Hg0Rw7JjdySv3rpkwyAOA+okkoo8ffa0ps894LTQtcsWvNG
v//PXyKS6l9+noXQmsvKl8lU9NdnDDkjsXwghbzoCvtQlAx5O3akf3NR//qpfv4pv9wqBa6rWldY
cdhqQN2J7zZhudZNRhrcj0hT/6XY/7cvjov52c9XkdfT6hhBwgLzg4tH1J+eK6fWAaZ8N9n2s8Xy
q5yc+3ZuqKW8WjOZzAAomNOHwaIsPqSFYeyHHDXitugYRjH4W+Qrb2JKUMrdkhiPqUZ7OEi26IfZ
hgDeGH2LQII7FiV0J3rjaZoW+aRnbvw1Q0D2dyEfl5SLnz4P40803HwgHriA9KOfb0ptTAsQaxYp
y9LpVEx1g+RXjX5xYyHc+JoOS/ea4ub7aTmxheYQWT5guD6AD3V5pdH29pVncs5RkW0zIeyPf3gX
UbGaGImD69to+/1fnk9rtjvhNEHCOylNUElaiHhZ1/7NXfSrNeI6ocUXYPW0MPBPggf4+TLwJZWx
5o8piuLZr65EVuTe1nLGFoK0KwrUak1TqXXCOX4s/eQ8N5MJrIuHR/3UOL16z6B1/i5m9S/39vpL
EbBKhiZhDtALP/9SWsnUsYmTbOuKb1U85OzJyHo59HaWsDWq/umVhgMiAnhNwAD9IfLo559GUefZ
WlzT+vGCOOginmlb/jDH/0drjbv2e/3Yi+/fe4w5fnXj+MnP4/9iBw+WCzxL/3618TP28jiUP204
/vW3/9hwBL8xQ8MvHYN2j+RWj3/4jw2H9xt2R8HqzIMPML5m3EN/bDhM7zcyYPh7GGbhEMx3+98b
DjgaD0EAZZbnIrzHyeifbDj4UdwcP71GSO/DORpxNRZMmGT/cqvyfxYDLmRd1FvuGaFZe8cSF+EQ
kbYWbpJnFCYyASuvbEkz4WbVUgab2ReSKYyOvQLez72RzeLRDGq/goa1WLMujZOI90EKTZyXWOqF
xDAHW+Q0Qrg0p+9ZYemBfVTArNqLz+SNqYkzOiq70RmhOCVyoq5U9sYoxQij52nU8Z91lWuxj7KM
DHmUBwgt4q+qrpd1bDWt3hgXnwz74pnRXfwzbJHgpWHXrJRvHBwPb2388cXWW403pguYN10gPSkC
/sXswu5dMD7dSudzWVnqx1IhtAutlfgrmsYDViSbDbEYIz2fdhk+UOhWH6MmROWF+giAsMgD95t+
wQqrnJc0CWRZ8JjVjfsSrwRiFvfN43zBEseVUEQjw99KZrjF3DW6O8/rnBuuOpPsfCUcB0MU8c5a
ucd8JSDjCwxZQVF8WBdEEiAm/dHTHBWhd4Eo63H1RyawV4BAkAKLBcQ0TVfLSl9mVkplpq1MZrfS
mYg2wTZKf9aGqL8AnN2UtWc/EWYBCb0iniW1wHVxAT8ZicCAOuvUurygoZpLo0/u3oqMahmZlnx8
SFJ0teOLGFe8tL6gpjEf7TG/AKgOs/fXdqVSm5VPxTECVHVeqVXmUQCs6cqyzhesdU5WxNUTvXh0
L+Ar08D8LltpWH3lYmt8DyJC0cTrvFKz8crPJikkLQYS/U2WY2BPqbyitukFu9UuCG57wXGNlcwt
lIXqpLoAu/0F3s1SS/uWCIje5gL3iiGF870Qvxf4F+CBtTKFn/5JtKbxXP0LFGYXr6AhV4AYVwER
b3Sjcm7mpHRPzgU2nlfueKULvlD1ACMnkwPOfkGUO1BjiGMEnx6jfyhmyByAZrGyza7y5jtv5Z3l
BX3WUIM8Zn3AyBGNH3D0Wnt0bFBWaLq6ANQM95fvTToRSscCS/s6rKx1UqzYtSeH4mmdyTw29jRA
Z6yEtt0W2JcguwHc1i8Qd8la3qCiqOTOuGDeSbYi34aoygcXz4oPExHfvM2l4d2R1LqgWEsAhMdh
qp9K2rZ7RWArXLkqzVvnQpsvF/KcNtdv0RuayYe/5PIbxvw2EteVV0cmDrved3rD2Xxh2s3WjdF1
moDuK/IuL/S7mIbqrcs1AFJNiOKVMhVSvmbj8S6ZKDPqXVF6XFmg6jE94B/2V9ieQTPc/WBYXOfg
guOvYH5wYfRpmY3bYQX3ZUetEGKEQXKldWH7Y79DgJPwaU7ahf7vsWvH82/1BJDp4KehuHgFpIa2
+gawX/hwVYqGLZars0Bj03Bvq7bFcUD3MB/gOvpfweCDt+riTZBoRT9FfdJOL+5qXoCmNkaZsFoa
VBd3A+3idKANNJ+RIEcAuPziiNDyRx4IBcYnoSWI9Vxd3BOCUriI+CqxxlRdHBbi1WxhKkUz7WEb
8GAojVaNIXL7rNx01bisK0u/3bvtiJ2HZSxJs10yg2o1n9ccw8HKSftj4+vd9rnD9lXLSgPj1jbP
3wSO+U9BXATnKjMRoKCtWrQNErSpwbGBJRLKSnthtJm69buEJP+imynyy75xmMzMZhF/uHjtM9UI
utxGGo5eCTOQfj7Zi1vRXemSTifXuzKLbCIrgHMYMFmorXycCRTo5AYWcTnKRiYCm040c1t/Sc1r
ydjmOSkEE3VfuNmVXgrGwj4GDVTpoNM/FE3CddZVPbNOAU+wzdAbIPI3M7wqnJ552AZ7He0Noyh1
2+ITaGz9bCEhe/Ioqzqk/iYDowRtuiLde2RPXAfgkPHibKysSOMojg0i42Z9BSQza3kGhxiM0EQa
RHwjEvR38iGAFReFixoGMTrfV5eta2lZt+3Zqgn3yVuG2ShVFno8C+3gAcOBp6poBE+U1W3GWht5
M6I8YyFle/3CpI75dAQ8trx3OUrfsB6R6+z0xrSTQ2nI4F6rU7q4IJh688pi8PfCEHqQ27ifZzZF
rhLL0cztQNvwdAd3fS00xDm9pkt2zazkjoCUTXPPMsBpQ5gBF8mRI9+dLmaEOjKKHqK2puYPOc7d
hq/C8ONwYj0JvKY0FalBGPmOw575pzNxnIUotJgRO0WSwKSwVEUg3vr510Wytb/jLDJyho4EbIZV
09vYCWKmhLYwQBB4KlFrVDdqzPyzg6loB6K3lAl/cMrZWi3rkmZYdHTlSWdVnygLDLmbU5b02xnA
xNwl6QVG4/KKrT3Mdrr1Bmmrp7xccHeqyhY9k6fM+CHrPKY9XW4R5LH0IzLSuRDV97Jm0Q4BUQcP
DcNQ5o3LXN2Qt9K/xT3e+iF2Qe4NaqrWDS3oF/bJhFYw/rVjgIsB0TP77ca8NWKjBT1MZkA8QxFe
ty1ZRn42zPqfhcNh1zo+yxsJH4sythq8d+6B9ocfjxluwshhH5aBDoZf0PFYrlFPfJV9z75/xPQq
3/AC8u+M1uqMfWz7y9dEU/oNlefIPtwsrU/lGBbyD63E17Ar8+QY2xYDWYZv9d3MrWdghWQNWILk
aPuxW6x46Lwp1+/TubJZKdg6X+Co684Txd66wBhcXp7F6iqoQUE+d2bRZ1vFTfBoJtZEnIE1K+y+
LJSGuUjH+54ZFpZdfjlcy3b1JWtio4TXUAgXSl02eEZ0ZMTgaqKlr37WCSANOXjJvRr77pOCWj2a
tRzbsGhGk/q0Lvx7t2oSLg5ZwHddufKEI9f/tdKd8Q52JhVhoLNW2WhaA21ZzvG3om2XJaRy1Yig
mdZxsOwTposp5/cmadGtR7FZJhywuSdLOBrOmDLR/BopeZs+pXbNiCDRAxgDhjhoctqaU8LoBJq4
uPD9zeQq3g05Pnp8y40xPnVTVVXrSi5AwD9ZYtgixJE/AnbumKmDEGQsMNmOb5yEzfCm9e3ywc7Y
A4SdUbgfrEG8+7aW9Tmba/8c6xJLJBpO42xyk4tI74nOwjm3BS9e3/LzzswtZ4jyqS/fvRIRQLS0
daXtNLL+gi1iGv+qquy+zXZqTqbXwFriajeZFrrB1Db8bm80nXajzMWWrEp1dEc+0Ky5AQpGj2s1
eCfdSQC5z4JFTRHa0uBP0wQPB2G6Em26gfyha5T1thQFVE4AXYSYQmOyTtWU2zggOQy4qspP5M7h
IRah3RXqPM+2rXb5uCxDyCmsvQBgYoaXlK2Odbh7sVxSLevjekFBYlAX5N8g1UZYWi3BIDc2Cs3f
tx2g9yvqbD6riyxI+XwLfZ1jEGEjYRmTxABVQs2ZPA8eP3ErgmQyKLkTw0aJsyBlKQPn+tI0/qN+
+v91N0x8QwJ613/fS9/ggSn/x/67eM/kn9vo3//i7220FeAC4TLdMQIE6WSBMeH4o402flsnYPhZ
O/oaS+TT3/7RRhv2b+ba1a6+ErhIIGD47zbaNH8LGM+4vMnWv+vS8v8DoSBQ5y/eCozgbBaUWO2i
FYT1vFju/2m8OE41Yo3aZkaMk/HZdzh6IMABn+Tc3Jql+RVPThrELI0MjBMxK4Nxo74JzaE81N5g
vHeLwvfAz5Jd68ECqWRMN5aG+pq3PvoV0RWRpfKYjGn7CU8EXg1VU98yMM6uk5x2werLAjuoHHn8
mhyrJx74GaTW1nDlIR+ScyfjOcJW+W7Mh3aX9vMDIoq99BPUH6mvbdtJvBZCm6IZQ4INvSEDZ4GB
XdY58rkF6oBYr+OIRX12tHPUkPUknjsE1leaLuxvjnORN9de6PNj94W2FnmUHO+DV9uPfhFgR8j6
bpe1zqeT1jiD2cled3rX2rBVGbgsDYwQvrIHFjy0nkp9IXS0PU7U4+c8S/BEqwI85SfT3zeYGdxO
enqXaF4VsZMx9uVqP2fjHvB15PhdRfOreiLQEi4ieshWPUrWYrt+DvI7aUsTlQbhz7RmrOc9et9i
yRo0kfb9hHfFlhE/ro2r1oui13rIZWNE0q13M/aqG1xlVIQ8i3JF1PBCdRflduWdUl/cjjQ2US/9
eSuX5VlfrSK1jpXqMAlBWJGsjwyEQbNEi61SnjsPjerL3dz5Azo9xEVMSKsIwPZh6Y1lY8Nroe8p
6xM+ckesAmyw13ZhqagnJ5zju1djwf5e61a0yeDAQRSVLlujg2AdsC7bmkP8IfJBj1oUiw++pr0w
rY1QcU474gkeqnY+I1EhcyHTMAaj50Gxbb6a/UCIR4mc0p8HFvf1q1a6e7Z7r3ZMs7l6DWyCBJno
MooTogjs2R0OoFQS4jkFZXzsOIepkxThinlcoL1vhXhKPJsqfEA9FvSvFj/jKdVscXArishFivOg
TcFG4Mf15KEAujZU/xXU8jmfnJc2kD+KBRBYE+O+bYJbd11S3DuTNvyg+pWo1UcPJIWtbl+HsnHa
6ShnnEqjAVth7yqv5unrbAuf2jCIm1u7lnodeTihFncjR93d4Jd5iTrGLvyXXmtdIw/dGQUcelRh
t9upDDQqMfyZN9ViQDWToxksYVLisrupuxgiN43ZVqITQ+/0XBcWgBJyk87juzBSMiZm3l+7xVFF
ux0zo5g2M8eTfVPEQXVXN23S3uJGlWVOpHdgxuYWw92i21lZllZRpWqGFHDkRvYpGjtmzMMSKImK
umpfHDtx76fBTfttuuC9EuqepmnM63JUjZhAqC+V8sbkBB6Q3Sa97Xl7ipvlFBNnrW1Xu1jUaEtW
DTtipzoetw6g9LlFWtwxh1A9Cc4WbfuxUDbwCeZ68RPNbhBv3bljaggirjMT8Phuequtk9BrOyQk
nPe1tSuQMgUH9pWeQ+GiTDzqOn9aVumUzLDzVd2gY7kyxAPGX3OKRoLeKAChrvF42nqV5YqdSVJV
t4PpNTjfkRYMEfBmgAU/2q905yN+ybY9+pYg7L3e9zZOjwmNPs7QbFPcNktIoeM8o4FgQCFxpMjD
klJr3iZl33Vs0WM0DIa3TEhTWpEemzRFDTW7mXwlJAXxYW5gbLcZhJ/ej57tm5vAqJBoJsNS9cfS
K4I18az1+9tKeqQpSMiE/oYFcabdiqDO8GvVhmQ+B7r0+ydtimv6+8oxDwxo+IIb0xmLYxHXdF1e
m+nBvmRmOm1Me1LvpowZ5Eg7fkCKyAVpgmwOoiwN4G7cWcx4z/TCcr4hcrLP6KkJxrS1+d1WChjc
zazR2hblghqj5mwNwgYvRgICnWa0rhRuFOYuC+zWOSQ+h8Z9bA4ekDpc6gpOO0WB7GzIcAdJnOlx
cKf+TnDW76jBxkPpLFe6luZXRS/aiJSG+t5Jutss16d9x6Bwmypv2uHl2dwlLsq9NtDVndd6MdPT
ykX7ykQkHFP1buCfsk/d7HZicLGfA5g6mUn9Wlsc0mCq6ai7PGx1XPZou3r6pCnZ6jjBbDvZyhvW
0DNOOVTJrjfgPDYYAD6eieo9iIFOCLO0AOyiYhpIuWiqxzIZ7xOLvWbL+RkudeZmG+bv4mZ1BMUd
BD5Yu46lfahMXtGq7QlwxLHR/YpWtZwwRkrODHHbE4pB7IiDxTk2iXbrdO5yVWjlXqx+uKyik7i+
QYOn3wwlmpgxfse110Ju3fwQLaORlCnZLtWMcxYgg9ZzmjcpfcSUpWtthz7mndCc4/UOrUyKUlRv
eLNO2IzyttoAPpq3DYV0OKcQgTq0AVgs7oTOGypi/YTGK+V0dG/i2psOTd26N0QR4MdgMjGj3zyY
cxNpRnVwF8M6CNXL7+7ihCY99LYtSnVIs6Zv0OdpzdYdOJrz1ntFsvckDL0/ztwQW1ubqo0ps2DT
W+JDIpzst840Pijmniy8qJDmqGc9bnJS1Siw23aF6saBNwZm51e5muv9QK//6OAFBaVUL5r3qUlD
JKc0B44LkQaXzmtX6dhvppVtLnvXZjp+OyZGf2Vq1GY7L1h0NgaxGpNIVIB/7PPadXQ1A1ndB+Xs
MpGIhdQ3+FIxedBHfZ8FzYKDi+uNV/ait8WGoUl+n+tN/5h7ca/vxkwSgFTZRvNdUX21uxKS3zn3
aTdn2yGbi2Arccqpr6pZzYdmWtxSwhv6tXXIUtDAk40fDwYWhVnaYZYF3Sc9Xqpo/NHgHVSv91zT
0XT64yC7FK+KgX/oiDXGpRmuEUx8qbUUB64gZSUjdnkubN7QZlfFxzTVHI/JXGznp7nAWALf7JLD
tzbxZkQquIqR/Zre/WroMeoC/SoN8FZ+K+918QyeK4uk3kyGZiJdeVNqshKbzsrq8uzOuhrOugT3
wzpXwz4h8pUaHga/K/DJ0p36PtDFskSKrq67n6l5vqxu7PZd42LOERKOO+I9SlQLCZPotT18PhFT
7VlNZD6qGaTeoUgHTAohPRuqQyqq9sBvIRG8pspPj66eweMrSgNy58HQEz3CnKE65UhHqRp6pP5a
EvTpc1XNBatUxJ4lSjgMNx/MRXxxqsI7AEAeMmIhUM0E3c4ol/1izOKgDWtNKzmEALMZoKQ4TwJ6
P0HfmkCexjc03h9F1jPiqCymmKzDNT8skL49DnbMr4luPMr95ln17gllYETdtg203ts1FjMjpS/t
vpLtwfDwaMYNInnOK+5go7uBMTbCpgI2cGRF0BPZehu3jNnMWsHO1ezgaK8qe62qT0PXPJHIiCuq
4v6pUV0OsbY1muFOCkfdc4Ff0zxPN/hg3Ok+Biag7qGHAp0jrzuhEsoP8eAcKYnuVjHvF15j063T
kyKcpY+DVu8Gy46cErM1cJE3IzcYXssm3jUu7vBd/1J27VkGwyE164/Sb6qtU2ePjGrvU6khuMa9
6CuDri8+T+jYttCret8d0KufnCLdWlNLElPerqxwgudYsXwYKr7BxOOxZ9a1sbzxRnWdCrFM6a4Z
tKoNrhBURG7wajMxZ4HR/FjGpEe/aNCr9HxOT916nC6jEexR19y4Ursvq/xl8eStNWOwi1/zyY3L
b+3QwzdjkbbJYivdWylKaNU1b9nidSFAB7z1XCL5xvP3YxzE46B7Dwbxq2GSjDepHRzopXYyGa6G
CeNZGB+058K7XmpJMYqVgzf3CEWMe69lr2Sp9pwHzj0SwR3xUy84gkKumDLgEV1EaA2M9Ga/f+Oo
XmGm/HrQDMITUexQ6r41Sb/r5o5DvMFHvCOXdVYqssb2ZNa92ueaLPd50H7GpiP2DCjeBcCTlTqI
+YPTkswvPq0RHjImIGTifE4BRfmqu7aECq1q+RjLACNz8hT3dla+5TRDnC3t6F/ZvfuqL93yXXe1
8Tq2s2doyP6REW046gzTsglQtqZtnaYo6eKTqObnotKv6mUhM7mOz4D/e6d2ryW9G/VllHv6+DIP
w/XSTueCxuq287xH3BXyLe0vPi8jZvq5mPxjNuTEjID3fWXRu53xh3uwu9r64tjqJWMgi6uCiXCZ
KfCOcZsInSo+p13Thm6waNtAFuZVbMJTzNLg68FgvNhltjmffas9FzGbJCZR6grY4Bt8VEIqgKuu
OWxaJpQzVt7obx4FesUj/4YJKIz0eDPbPMNVln9HJesjthwb7C7iblP6wbBbBkf0e3uwWnOvxnXu
xmk7VK/skVCuSxwLgshWY3zHwFjCm+g9VdQdXRySfOx08XTQhpi/ZcepfqBMxxWhF0ba7QsMf/KI
tsfGq7kxc8TcLOEQG0PVldauwcyFQAYJHsFHEq63WYIZZb1VOPy/vj+sAmZMiZ/8IUezrICLgVhG
/lcTuWV+jVCW8Ke6SqancQJgIAZBqeuxIqt5yzYuu8pZjQe0QgNrPOZq0l/CAQ6Ngk3MwanI64V8
pxQfR8UApuWdMOfRhA0O1Sx8+lHTlIvMUlMgtk4KSmTV7SiuscWR6cGkj7lhmE7DE6iKklzLKkpa
xIHNJ8Yw42mgscKOrnaLY9v2yX1hQJ5daa20fliJ1T1BVmb+TnOTgaJ2Io1GtjSe7aS/O+XyltgY
Esmu97lwTZCeGlP5425aTPzYx06eej8+M3V/6bPpyjX8W6kB829Fb+o3lTcFxA6gtd116GOwUkGU
sHOH+lZY7P+9gMYHPHOTjCNB3TCcUc48phGZGaJ722ENh4O/YOEwGKd6Ws62KrkI2K9ZqXttymY7
dJyYlTXsrcB6segCr1JvuQUvYKetmlCUGAXO2mov6M8HWQAP4JbIqF5Wt02jqC0dHAknw3zpSzlH
1eJ+cg7dTvaEzth6nHw3jY9EeCAZcqxYe4emDx5jlkoxptBZn+xKOTww2Yqvc8ga3hZaoZ6SBqOA
CNSnfACxKYxNnqPLjQzaORJH3Mbtrz28fveLDVIZNnD+fJ5GieLKcpsbPYXKyFOsBHiKmw2FZmF+
Sr2/NRkGxRjGYPrRrb7tzU0fjLtMbz9yc5bXqkGtz3T4C3r3ZC80lr+18lLejOaOw+hbxXiA0iPA
AQ+OljeWbz7QPtL4Eye+WvYE1k1Tz28Mk74jogaeJSXl3XaaU6aPzf00VdoG/3S153he6se86Cj5
fNUhWcHni34yqdbSa5SzdkVLHohNIVr+iN54DVJ/V+XvdD9cnUHnnWlnLqVYosO8RjpMCG9KrNyL
XVGWKw9UVUOzbbTGj6hDefztBHerMDe69J6zG0JfdCi8FY5YuyUDIdquTmolmSvW/FpX1liHopfi
E32gy5mupA97UVSKBxrTECVuBEsJ+SAGENiNJ7RMEifXjCLCvJKNqystJ/jW1YH3NoPREE1pj1qk
+zTUoT1X1K1k0q1lppXy2pn8QuiRM+acFNLS1EeL4EQ71bjFzBv0g9mGwHu6Vb1LNsaoN48AfP2V
odzibEvL+5F1LELSpPEOFSNFavWesV7b6t8azEcoGjk+sXcZ2mfPT1XkoYppZwlAn+jy6A3D96pB
BouGQu3iYfKME2breLCqNhKN2QendPLH5eCaibDu89mdKp5+n0OB4WBBqgMhPvlJBcAQWFROMrmS
rt+2+56C9RNP9UxtKt2ff3RukgcRam22f31RqGAvc960WNI09SlHrIpbdG2PGWwXWWNHtEVYTiyD
IacridUpVl8dE2S02xwam6nRs5xJTMuwDW8SPzm1JYKpCFUGL95E9vEdNnvuHDZ6Y4e6409veFkH
z+nc6dgnDGXY55WBqxo1Vmnp00tGcdEsljjqWcVkiRnPdzs2uSf1xMnfleeW2DkN7Calcu3nsSgN
bLN1R9t0yLxOLDaCR6tIlwNPQhAwjeJnb1EbjyrU69SbrvtGS1F/51acVDde0U7GowQRlzveMXV3
VyjQt4N1gbvGieblWODSlL8vAjCGdhBIgMa1W84lIOT0PuVNsjrdJ7Pz5IysGiMhdLbj4gKjEZgN
VoHpC1wQOkr7GSiqrh8ogtv63vLnTDzns+Ukxz6eDUWm9oWdQ9WYY8fQYboZ9Usz1lvTrwMHZjEn
T+Had2OugaoH6gXsUur0UDfsTDeV0Ir8iY/C3g4rgMHYYRPDFz0EdpLel7IRRM/AcX6JrQmrEIxe
NOOHY3TVR8Z384N220AL0tKso8VotvjeQipXqQ0dgi8r2BT5F0RKJL0O36cufKOTWol+F5d1/2GD
0qhI445hGCn76ioDTPV3OI24iq+Oxf6mT5oAg72iaGniyCSs0DKBZsacQMaZUk8QMjJa4jrRgtHb
8Zh02nYAZF1DKXRsNDzHDvhvu15CgzQeN4pXUJTuB25JgcxAjwiD2xO/QhN3PqIFPsFp42DjaZUV
nHixaUXIaG7hDdHHvNRkUIv1dy4BtmykD9amjV053QZ2mR4H1NwpZq7e2r8PGTdz7+e5G/mUPOOW
USEyLwzSpmLv8WTdEgxUJncT6ak8Q2i43ngytS2xTqP7Zg6p9wVM337gHUEV6LUa7/rOo/xfTZ16
CimcJvuQ3Ub2MYokjbxeDLdL0y03yThbD6WTYTaMpnungMJv/dE6dvjLvsxIeipq5oPtmMR4MPd8
RrflHqg4KJOWrI1vETdALEp/YJwJRVouXX3DxrQ4+K14T4122Ol6R/6zg7gAt7j5FvkY5sNNR842
/nu8BRP7VsSZffJtzQhbxzpq/vK9ctWxq2Zz49FNL1Olh7MZtFucrp7QMsahGmT5xTVq5K+8ww8T
9OJmafsH6YtD3fkPNiO+b2itngIPs0Sdk72kJtkOuuk+1r1/nQTtjRjZH0Oo7L0gV5h8eVECEb6z
nTx5IUPgc6zjAH59NE7wpBqW+nk+YwvAtYA9c51yI9jhMNhx3P+/avxL8N4KggBn/Kdl40NTf/7P
/6qz9z9vGv/33/t91+jgLoIrq7fqeAP02xYLxd93jZjA+rzwsYZ3WNaZlv2nXaP3G6epiUMIBrDE
i/gOK8o/TEkMCxWwafEOA1jxCM4w/tGu0TN/2TVaeGMxdnR91N78h7naz4Jvv0dWtlhmgV5OfZat
3xyXpBcRUiPO+tGb6DsXyiiGfO0VQI4VVaOBMagDm1hT4X8pnGq8xlUdp/PSQ/K0MM45JvX/Yu+8
kiNH0i29ldkAyhwa/jihBYNa5guMTDKhtXAHdnPXMhubD1nV3ZllV1i/37Z+qKrMIINBwOF+/nO+
E7sn0XIO9XXzqZ18WCjjR5nrYp/J6SZXOj7HdVrsp3B4pwLrOsIR0fvPdcfTqRhvPQb9VZHuJT6e
MZ6uGjVtO61+dLbkBGr6qya0XropvXLr+Lv2D0NgbOPZvnWq+kAI+s7Oh20bM4saMKXN16ayXpMg
2bpNtojKpzmovxPdOIXhcIlRW5TBNLPubi2tsRKAteX4K7IVtVig/tJTTDyjdT4E+9HUNJE0AgSK
WDGK6vYA0raM19Y0xBwTq63BnXjy3cYnuSUMAoEgDvdD892K5ucUW8sGktYrSEKTRWx+mUWR75K2
QcAb92PFRnKMxg24uvbo0zS2p0RvKzr/igaykzvED7ACMch5q6nIrQffgNGObIadMV3b+Aq8iLeg
LhmoDQ8UqWFfu86wc0v32FoFPMJ6U3tPUzGjJCSjcSVBYZL42ffDofLNdZnxWB7DN1opEchRX2uG
xpSPPDHz6dZEytlK2P0qMCO5VhTC3hnNMcfS1tTJiihhs/IHyVm05BLInhlr0/nngaqezTuwXvob
xUDtuh6mV63cK7r1GEhKM/1w51h9B671HlsMuJvIfTcFmxbtamsFzMDbN5q9d9/Dhwj6XO1qWlLu
pyq596Kd6x3TUpGUj6pTFMaYYGImAle1Xah7Odo2Sf7QurVaPb1EnT0d5FRhpDOmnfQivcuhd6xh
SwLDyHX4Vpvhmb2FcxyXU67bOU+1UK92E6jr1umSYxD72UmUKBPEPR47KFTByN+GxNJtvFlAxNPZ
Njbsm9bVhzYAQt5NV5ZivFOFaPOyCvPrDNwVkMf0uBzit05tfpv78gdnqvLUl2a+sqbsyTWa6ypM
yqUGip3AZMzVY2BR3cb2UDEQW7lmV+xwjI/rTBVHsMfzzjJq5xJNPgo73YlNesFivh64+ISies5U
0T4Ylb9ucmSohdxIyY9Jb2CnrpipbwZbAakpuv7Wy7KvSuUvFfIcTjZjWsi611OasJlnZmGMO9/+
Pg4WQd1wlYjuYltVt28BRa889TPd9eBOwXtX9O192XNU6L9mNb61EOrRn5Jj3TV4BLBtdphT14Ng
mP1e6fCZ0Hj0SfrVu46dpIXI7AR0PVVsagQRuHw15+lwwP9TVY9YQrFL6k+XhoPQ6hjyvYq6eNBM
UVx/nQ8WuBsZvvAChhw+lLO56ZnJTdjX6OhZI4OT6d9J+LWP/qhz3FApz+ZDWMuLl6NSYV1ft3W5
tcbjTIGa4nJZlYsPq3c+5iB7UEw3oAQP5GLlK5xGbOYr4d41IgBSWFkJTlOLIcwy7pGDf5kMKo/S
HkgabcY1gkGnDg6UyntO6N9YSNce5W5h+C2Lhl2cMSLOzWMYfu9pggQu220aM31mfLrF+7dzQKrN
nd6KZj7BBjrYTBspX8g2JZwMxVFDvabtrh9Hcyfy+qpDuMPKJz85yG5CdQpzddUnowBG061icLzC
/SiM8hqlcz+0+T5JF15QuAdUuDPiYa8acUKk38tKbzR7yiS6yUestXl0hwDuYpJTJ2Hbx2Kw5odq
bC6lfm/87KqYxmtTVq86t+7iYj75SQJGPDuXHO0AhWOlSHDBrnzM+LGV3IdoFADtje7A7s7fCDsT
q1jlO0CFj3FFt0Jp1s+Z39wEdflQpPIkmAw1UJ2h6q3w7d1WHZNiG9hzlvsHwMrPoWLWPk7pV9KL
VQ9544jZ58mKggeqN9aZ9OqLbAqKoSyFRsYUjkTpMpqeuWILX6WH2M9p//Fu20Lsm65/IiWb3ti5
c5UA3Widl4D0uWl075FW+8adMXxbaCXmiY4Puohc/ciem1D62N0LF/SgNMePoQN4HskfugvPRTZf
505674Yot+FUlhvJKRXZ9mQu7yDHJJ0OOdXlrbXHjINxuku+RB9foz5Fa8uHmq6zaePFbFDhi6x0
TGdpWT+Orupx+U5NsUcrO7uRzQVHUG1q+guG/duYgxKD8BmGdum8lEl2EF71FJhmxb4+OMWjOAGB
uHP7ZG8PLwmr6HoIu+AIpQXv3HBsVboNPT50/SVVmtDDVq44/171RcAaUPdA9MSpjseTF3M3erk6
B8K8SZBorDCmDdVW9nkg0Fgz/h5AXNBfsRj4xVfZzUfpElQpDUbIJqfJuI9vhsy9kYaxcDyBFnsV
FS5CnRLfOPVSIjfFNNta9blvwmeQfDtzosvTy7fN7O/C0qXFwz9M0pFb7K3dORaszkad6KvAdPut
1zuvdli7d0HbT2dLkmWWBffpvEP43OZJ+Bi28X06q+YaEyRccosW8jzdC6E/mHo9s/u+ncLs25/G
oC8pk7Vgw7SJhulidah/XVJfY07uV/BGKnyvabwUg5oHfrBiY7Qy4W/EX52l3nJ/bq+tovH3tuo4
Z4BNd5R9jPJcPg/wBKfGgEHtJDu/qtMLGi2lxZUWrGfEB7aqbzG0oPyxDV2VtnXxYnenembZ1pDa
e6ds/DOoqWNdtdOqrYeXBlccV0yIeBwXvrxPq/ACuhhZs+ZD1BhMd1zuYkvcJsGS+527ZaanJr92
ix4GrvaOnPvOQ5HnGzsIOpwx7MjokHjvQkDVysA8axAAye2HYsguIPeqdxup5OLS9LfOi2KvbbFp
hU2bvVlkLAXRzpuBN8Y2NqGckf6V8gNj7VfmD3rrNkWOt4Y+RAhek3025uwBihANGqG+scrmsS+A
Kmu4/pxPh9Gq1zm56+HRM4tLC8G7LXdRPw7XWFiZAKWBjSnHlFfY+YMt+YcSeqzBsHNpoV+3kwlq
Wj9hdQtvlBO+JyQlNokZqg3GMsVohykS7KMAdzsR2IgpERcMf2CkzG4cZCG+ZIudzJ2AeVh8r4zE
0y6KeIVIw+Vz6eptZkv+qe1pypsR4bPBbR5EO6odZpj4rmtGeQWPt311Jl728y9XwVCeoKyWp4yG
YPxOg7wiXkz8IEpr+y0LspIdCW6RSnrxS5bJT9uLtjpM2PyS7F7zKeZ7EeGt+PltA9wn+yDkU8jS
5ZUtzpMJpWCDqexLBYLhwc+vRnejfmx6NySqYyb+BYt4s2YVuUNMxcVXnCJctG7k19fAWw69vm1D
KFcxTK4ZwOvGSO2zvZBEOfh7JxuyyMYuWla3pMZZZba3rVE8xb58NlTfcKmktAq1ot2DfwIJPVff
hIW3AB97WfVch1O0V0F1LxoO4N7IJKJlzhMAfVkXjOIQ424Coz6RId7XRFXYWTYmFpzmGrbhbnba
LZWN6PxED2eZvXWqvjccl67l0FTnrAiTXTY306G0eALia3iYHfsux0K19Q39AG2VAWJ9ExQROlJ2
hbFXb+RQhmdXQwfEZjPD7itJ6RX+cODM9s0Ptb8h4yDPVm9i9wfCvvK98Atqv4TXoS++KaetGxXD
g7CscYf/WO0LkMVHAW75Es60zeHG+OBKwkLgg+pXC4RkCBGT6LrpL8Akhk1t0rSQ1u0B6uQOnE6z
aQS8Fg4B7Ax8fHJSpFwtQbaBhpzsraVFKAqBsJaAWPzO32oCBRu6tK0rTX33BnYwaAUcb2kANtL5
gKXnrimWokxpqD7JwhSfLXWHK2F34bXEoH4XTsl8HTQDbEAZ8ptw7UMWN2iTZlxv4mJacwOCZ3fD
eC2UI69z19XsGmz8N0mtbqiRoIyjSPDxR0sxK1VhclOBAruCe3zJsUtjhZjSW3M0fbzlZk78ZLll
mym/zzB3cxXn/VH1QQ4Iq+e/oeyeI1GKQzvQvr2y6+V+b7kzwHZpioYk++48BI6Mi9zGz8C962AS
uYG6B7EnwJlNL4HHzrNzg4s1T1a+ZdKRo1nRlHJN+mEZg0zq6+cKkS0Sfgce55jNiu/WAffeQJjg
zQxFsIUFAJnJkYkGwZWz2XWIJ74oU7O2KNt6CwzFTT4b86FrO+hAanKeskaiNWeUjJ197ThPFAbU
J714b8oxF3y2S1TG5ivabtGcetxl9yqf7E0w181D5/uIfYKtNm73n3PFcY5fnE5xQ0dNE79wnbav
CnpYsf9zKYO4hcm1Y7WKMhteGUGXcmPbkPp/LleRP/Cp/PkWUTJwo1VD+5pVSX9MZQvaa454T+D6
bdRULjeRz6jgnWUTv+0g2OB+x/y4KZIheK9S1rAuhnokEtZZooQLhlsVBSPJPxfDutMfqvHtdRXJ
HDxYjFc5qKb4Dl8Ws1lYxo+Bt/wT6Se4U8sqClON/5iPfL1M1fz9P18lGv6saoC/s1qnUMoqfzQA
AgEej2BuPmZezyuWoBs/Lkeplkue3035QKk4iK6hEm/Ax6s9SQBkNUu79jZGxhOcCNKw3AUFf181
hW2teYotVe9LPdmO/mW18X2mFYcOCNmZ53SL3WGwrSv2ws7eLytceaqqfc70rF1WLoNbD1KfyWM4
Nra61RCV0U7Ls81MFsbPYMyXOpznBzfpExQKWaebmSqAQ+3EMXmiqKnWxZyJb3MTDSc6U40tdeXD
iaGU3qY4JRjuh5l/R8q1JeFMLd2rWy9QT8XJqsCLU6lXTyjj2Y9drLJTYrCuV7iLjqSW/CNjzeRm
wNFEE09j929Q5mpnhditT5Zvzz63dFoe1Dj7w71UDhakQhneI5nLDjtkSU9YPwa0UFQ2BVrkdD5M
3NJ0HRPSxdT3hqAx3ybjSBtCx5lgnfOreWmwAK/cFCqpii1BY/Ucx/u2WpJEhDvdlUyEfe4LM7jU
hGeSbZ1aprvFWhiufMYKtDogLh8I0OOXcCyq11VjGceyd4glNU7r7othyJ/HCc4LePfhYnZ1cIri
KNx3Vlz3G6fGZcc+z+BEby7PH4Fz0cwH91CmkX4y01p+zClGAS7dVp4CgIABQ6RBgkkcSRzuitDs
TqZq1Q03vX4IBzpLRzK90aq0NPKXRleiQ4XmIqwA8bpuqYS3ptI4EXiqMOGzY7ye3Xk+VShPp1mL
4JZrbrpMmmGTyZkffutUUHwRWgI4WgpB5hQliXgeqsZlwDUAni2JpDlb6mvDO1R9/8hEGtUKbgXo
9SIfcRRgavr0HF1f/DELdj4WhY6dtJleTIiRJkdkeo9BfHRJisPfNp741+i7DHL71SNiSIGdmv3P
wFtcC0AKgpcsl94jl6d3octPPpqhm+7r2PDviixtTkqY08MQSOTyge6Mo61iOGxWGTwb8Sg/F3ES
bZDpa8YSYsbQ7lPWOXcO448ybTluGCbcxI3T5vUjVcFFe7Jd4kNDALFxlZhd9xHqMrsiV8nGGEFh
awxd9UHomUjkBAQANgvdO000N/bH6IScHljNiNG11tG0HX83a0/uAkKGl8lW/pdvMqnTZOdWcir5
HZRqRJEcMg0jLpD3cNHcA93E8kZlGvzYjIfOdgKOkAHcP69QtNJbsMyYqSpf3DJthBcyEuc4cDQg
Fao8AmmlgZmaF+PIvnLz6H3ka11xcXkHmYX92iKSvffTCvbpnHnV1Sw0yF0PU7yd2GyEJj8h5GYm
58rQGF2EadyGOSciRhzq3JlswYXZqzsCJsUBP15wLJoXF1D9Kx89CLq2yi+F55OJm4kMb1jljS2W
df+UoEEdgir/APUW3dXk6zEUjMVRFeT2+1j7d8pJHLJ9wuk3PMTqqzAGkc7oUG1jH1x77pYErmgd
f5jDie1rHuKj8IPiqTMdC/O6GO4ViebVQL8Ex8cptVeVDFEIIlfchX0wXtFCxbC0ij4UdNRbkVhk
/t2QjcgIQOI6AWzd8YjBVReGLZlwaG7Oum3pKYtZQFf9jIrQg5bkCWUZNBor45DPOBYE3oxDY6nu
BixEsZn9cv5s2tY6mDJSJ9d1rF3gDcamA5R8SXAI/SCDjEmuAEfPDVKrl0Zhy1pEaY+0Mhn/RfSs
7Sl6J3jCx6lZs9pQyBs3pLh2FWZFe8xTc6TLI+kPLAi9vYLdYp/HGSri3vJYqs8Vp9NveefnBcYm
P7mlb6NgYN0Z8UeaBcnZsVJGjmVMhxObGQQeB98m3QWA9r7mfo5vXFAc5Rq+EmAKrkRHn1hLmDdp
DQeOeem30gwgK/o2fkkzp8vICATU0lbq6gq+RtBv/F7ixh8crL9lXrrPHfSXL46JVnLMRj3sqbCp
thrw5ynHpGKvZTo6GtCzaaGUWbX4GmTM0ZjVecJuyWprr2DJ6W91JrL3yoebuq5pMb+0E88ziJTG
+GBWlb6MjWudCMkYTyPgzi1FUUQSM55EmBs89J1Mp+H1iJmKVvkw2lrtOO5F1mCIThhI51uLxklg
niokiRGP6i2qpuKhHH2keu7DB0kYGQckR7Tn2J2qjK8n3M3U5iOCG1hndiChD/NYNsOVYSXBVpOW
xXaX8w7QbRL7tssH6s1FNVXfQirdAvb5XnRhBJfeYXupIUKbwcCZ3rDyKxUAaR4nVDzqvAiWk1jd
WKZf31CbwnyaGqMud81zGUfxOpEqfCHyNWw4vOGar6lduwpx/gerQurIWg9Exh8VetuGssyxw3NM
I1o8GDFcMBqSDhiBIvr32rK+0bbSd6mBnQOnpI4eqjjMHsOpHz816zLESypDiN6AnU54eBiob3Od
la8sJLwRkOfcu/DMWXAjl3aFzKyKkYxOpj8mFeUoaUMZrIHyiiNt6ifu1jreGhII0zr2LCIOzVCD
rWCpwzJcN7s6TxxcLi6591UX6f4uAqfJvsUMreeO1eYyjj4xikjHJ1PW4oBB+ihwo9EoUetyH7sN
Nimrw/nMDJ9SVCdqbzWTM8z3fXRrclJKkAxKukdqd/hIcss9suW2rQ12FTffGDh4rh26ZHfI9+3H
YPTR1ZyGwVdcxVjASKW7NwgmPDvHNjGvOfy2yJojlpLF68ckoExRideZUyZnjTVn7+RTvhU63ngu
LkBnquU5YVdgbUenL+8xEDT9rnZcdPq2dTdFmqotuHPjnhgzT08o20AZMwYJlKauVGFvAKAT7m3v
egPXquGhoSfufPIyAzpqOgUbAKTRJ7z2p8maiLxk4sKwodlk4Cwvg9Pab4phBv4Zegox9tPG2rj3
qouPRt1sZdCHp594dh48hhUDYploQqHWpk2+K21eoiq+WXK86L5U+2lzW7TZMUwyCrw8DMEV83Ih
HokOcGwMhl0qycuF/rmtm3I1cccCRl4yevG0yFvEpuFRH2VKRiH3kJWsbN5nrki2KdywedNO4aaF
Lo3DE5Ot21fTFrcZNYiAIl5auO3fzBovlwr67tJ5UGsNWpXoVbNb5zAbXhqtPexFP6Q11ddctaxS
jh8+g2CenyyAWydcyNiJzNgf7locUg9B1NMyVAqxyma835UzP86jefaZaKwZR3EMMzFqzrlyztlI
0WoSwPGhHWFPmIOYeT2nFgfBNKNZbGbfWvrpMSpEy4OlzTexDddsAZXe9YL+spE9DIVkKtzIgkbj
fQwG9t6ozOGT8W+Fls6cRGPM2leOFTBpmLijYbee/TycLjh/u2sPBsFAFGT0H9rRG84ZPj92mrTe
+nk87jqM5GvNnnPtVQLzVdfk+8khSy0BWXwY5kCptV/lr51tuRvyUumpjR322Z2Q7H8z7wUruUXq
kmJG3DHezpmsEMBk0xdUDqTmtVOTTzStuiYJJoPDNHn9kxFqezcYdvC90EV/KZpJ3mirz5BksvjR
53T3JbSNDNplCr9/bYpt76gUEkrlXgGohWmAsqf3eZzab4JSxe2Uwd7ppqn113FacR6JGTm1qcje
bKYSuygPib/AxL9wJMm3ZhJlt2Olwu/a7o1b5mU2XF5L3qVtb99mzEcZnNj1ATibt529RRbx+uyE
L+OtonB8X4Lv2BZaxV9pBKJgsoLp3nY7LiTQC9aqTkb7nVBktNZ2HR4rxQSn0KJ9IAiC2zvLeENV
325MMCWXoPYXfK0fkdJwgis4qIsIhUl3A+nG2YQhg79KyPaG5BfDthYuO0MLh+xCjHGp2hDpq9dp
Wc+07MaleYzFNO8wTWVXPsWNLCjLMCC0wOXiUNnaeJroECLlmFoOYwm0rUOqG+OcQLbaWl5Jpbo3
qPM0R+rI+BOX/rJ7LWxnPvReM3/TBkNjzQj/fp4SdzXUk942Im0faVUjERZEe47o6TlWxNRRDu09
45uBaxdSH/vPEWezMfCJQNjwqWgHC+ed/LouwHtU/S5qtf80tTN50iKOdmUOKkkXOPBWpErIuPAk
PFqFppipj+zoRU9p8OAZwARXLlHJXeX76Q3Eg+Sa+KBSq1gq6wj2vfoLqfm/6fdfSnKWEDvWjf86
/f5/i/f6//3Hr26Uv17yL3xcgJ8EtiOASK5Vnyz9P3Lvzh+B71mO7wgPP8pPv8lfuXfnD6qI+T8l
xZ7DawJMMf+0opCI50+WRLznuRb/+3esKIvP5F/sOEwwZE6J3iOQWrZJ5Q5v71cEq21EwF0jphR9
NBBiiFPpYA7mrVUI7kTHcX0v5XPzWIFXEMbCEvvl47r981v9SgM2+VH+9g4ceMA0/mCDcUzT+psT
pjb8cMho9lq5QKGc1QxkKzwAaDG+2UERvsYuKgHNYYX5Sj9Pku5to6P5NLMBYDMFURzPJssV+3Yw
svKYYsOlXIJ6wo///m3+zthbPieHWDW+Yx8LoUN09/fPiRadrJ0QNFeNIcr7nrkPNgcv/R/4y0CK
fvs0wCF7fHVcRkwq4LawYfz9+0QJYTwsw3TQdiwWlM90bHWqzve+U94ZcArTHhO80PQwKpCfoN9Z
6Ru8L84jY6EMGSVIQm+dNlSGbo3O8GCkcJpvb+iXkQovphhhuTO2Yo0tA2XehnKKnQstbNp6cCpz
mrZhYnB64a+nwzEyK0DpotJxc/LSUczPTpvO1s4cYOQDeyjt9USXBq0LWWzLVQefia2zifCq8Nhg
5xN1690pKnPlOsB4X5617PEzENqekUS63Al3AQ3O3o5BYS43mWvDdVctpJa1Y4OG21VeV6ibKXVm
zhDRcjwdMeniKg2WGibOniAEADLlGClOHWaR8Lksc40lwZuxJ09Ejw+eM0pr4ag2/ZFhQ683RNsp
UZsrmDKvNQj2+QgBHOhNTsiAMlXOo4SbqN1M1xiL6XKlkISNSbIUAh47DBoBKYs+u3DB1jSw1Ut0
o1U+T7CuB9W9wXhjLa29NaZAKRymG76NlkhDrRYbZJH0FcWZfog0l0W/ShTblQsjrjHbdl0xo3D6
s3fdxJHxQteMxTFVIqPipYwCTvdT33Frpj1j+NBVGrGglZhDi3YEj2S1SrTPpaSw6Wio1EK7zBqs
HY2Tivo58nxyAHTbse1L+9Z59Po2d7bE3Qx58OdReHRmz4GLq4F6tVU/IDx9K2bIOI9c/bXakHgJ
nuoW+8kREIXK1ww8bGqMrKD5dMmOn4oM9C9m9EC3e9IxlPdmYG+bS0IBq72awnhw0Jc1ZZyiHA04
i6bjJLeF35Eo7jydDPiNzcxkr1UCdK04PnHkG1vlcvWk9iOsYzfeitAUDf3IbBSeNfOKAuuBUXxG
ZZ0GCI75iOw/ds4TAfApXNsh5K31oLIJTViVzLm6YQ5owKni19RylwFSI4APYIvrYA8pfRD2HBvX
qvG8YWUMcfOK9wr7S2ePDLEKNp75VNGelbh9caCaxb6rFfvUuBLYaSmpbt+iwGz12jI77yQi6esH
KM0Tt0SHzX0/yEyKvWqLqtnSFIkLw65k6x5m8p/8SoOueK5Mv/2B/GDQATgJk3ACaaQVUikmGegp
WPa6jojKDgHFuAb8SQLXdLX7PpmRwT2e8kBa1b0FZr6OMb6kad8X23bJXnkUUDk7Bzc1vTNRQUc8
SVRBUgfJbiOAt7HV7pl8tfBMsaLw07zZdIDkEPanuVu7AMKg6Uw57ZWjMcNKnlo1ZEdIAMyCnRGr
2LarQ8nuPtFqpGzc6PQpEgPTnDQt/QMCTa+RcVVgbph+yRAgId9qPVQWs4zSHEKEJbOCgGdri0uw
G6L4XvczpkO7gtVmTbJ7cig7ekK4DilnDuSd2fYFduOkHeedtHv7ya/c19yzko9MtNFLRYajZGqP
ILEBNcLTjVp1GmepfPPUwa91cj30McBhMcez2oe2glKAfxE+vTIbGt3a3h2inYoq9wMfNz0ARTqk
yK22b+zzfoZTZPflbG3xc2E4pk0IaxNpoCjaEQFGKIujKWbDRxfLsxloqfY+auo5IXpFS5SKYDnz
AKOF2nVqksYYrKrvbdr1lLiYJicMGAMnm+bsD2OcEwZYeRIxzB/ld0ln+ffEy4n9qwZ9bnSx64d5
YV210kBt0/5wO8m6eSHz+mHRXu6sMbfabxahyzBS9yN13t99aiiO1KnE+wFf/L105/5zaltbrRp6
fIhjiMp4tqa8fctGeiTXNlOXkisgat7QJ+ezjGaHKHnVRDAqZ40zisIPnzGK1X2UE5U92ziNpve4
6K6YpauMza1nPiBQxx894ywe42nylDhsWeGXDHgZgtmqXmtivKiwfJfrnpuTAA3JAOvb5FW9t05y
XHUHFTD8WHtYvL681IIFEGQkylmQQs7JTECzYlOz86VjQ0b57UxlxxJ1IHa6qLnlQwZRpdm1IUnT
qLS8epMrP38uiW6gl+fALDaGRJDkCo6cGyXt+tPmmWEsbXXlpwwapByvzsbgZJLQQ9AJOvxyvcBj
W8XjgHcttyJxKgwzuNdpasojWRN5k9X0lWElAnGy8kd+1dDowb2uZqSU9mKTOH1PiogIrrRBgy/l
XrG9riMLVovKgmFet3Pcfg2FkEySqip97R1Rc/42mvS6TJP0dhCpZDBomL3cRnIeX1D1liUUPgy9
evQkEEZP4+gujD1O49KvR3MzjcIqKfnJyRcFvc9WsMp1ejfZc7fwD6V846LKqz+h3/97ePjl8IC+
wTbxvzk75O9R9f4bNOvPl/yDmeX+gdLm+4FnYb0MrIC6zr/ODnbAKYANFt8BJzsI+V/Q08EfnBoW
LJZHBYDJjvIXZpYp/nAk6HzudNMUEG6Cf+fwwHjj9+0qk3UA9gA28Mv7mM+X082vx4c2MrAZYbZB
mFXOPqwMXz30xN6B7PR4RDVZqnzbj4G2rh06qCDSYmav2bIPVrif4S/gM59KiLvYRci2UvMSIJ4G
ldV/TVmXP3hLjukhHoPkW1yXAtodsuGDBi5zHyFfcc9V7PhXRV1nZ0PGrEX0fPAcbVIWlW3b/XSP
NUF4FY9eVD3aBd071M/76VaJUacH0Yxd8iLpkvF3ZSyE2pkGEW+O5IawmUwSbN16mU/b0zJ07llj
nqcxxdwQeXWbPcqEVnhSmMD7lZFG536UrAOGmY931JORBKkm7VvHPBva8trN6ggeNue9H03caCYl
piyuPNvrGKXHeNJq8IC4A+ulpCvJKsi3TFNNEMkms9dx1urLMNs4Qv6eGqyybVpBmLAz+YB9F3Rw
3NsF/gusAmIdqpaUaz14DpWF1Im+6JpGucM8OAoJMFTZBhkF1dxn0zHw3WWHV3G0wI1Jlb9BE+3N
XWJNg7E1I1NMLOilzRa0Bum9SQOZXY86iL4l5JdGGMHaMVZVVsXk5RPyiksdmLduADI+uL1TJNsS
ok9MaeJIsBK7WPNjCHSm1kDF9LIbqFA5QHlG3dNsOjlNYJ5IL7QZMPIZRTgwjMEqhhLUNPkH/cz5
W2VFlCtyXnsv6giJZcSQc9O4xF+3RbW8g5ikvX0IZS2vG84ACOB8BWfrE5WXFxim2P0m6Yofdp15
P2KJE2cVNG16B3V7wJM3Gl27ZlaaZRd2A527Y3nmqw4Ykah1FTE8ymlk68SKn/inwk8hPFWly0Os
LgPjoZQqIWLqKvUa0N8zHeFqUHYOiwhRK2IjCphnxPFI26ZB3s2PA0aeWnHyPTC6COe1jhzjJffN
oV13ApV/nYgZiE6j2uRu9smPYZpZqFVeY3766YiPj6xpZZ2tlhPGimUdlANrivvY+yVp0yppeWAw
dna+23ZTgWv1/HTYCu4GCCKxa+cH4fqY42RoYICtjaoZ8HQbbMRVt9BptTss/A3g0e4evjwbnBKC
00vvJWa5xvJW26vYNQCU/rIa/ifSwO/KgMfiwpqylPZ6i+IBLP/3xUXnRk9+g5u86kbv09ROTLKc
T44jre/9TzLE3wI5f30zb9FTuJ0s828HfFUFszONTg59oig3PkursXZdv7vCMtdcT+EyafOG4RDA
8F7jaLaOUW3kh58/8f8+FX95KvL7XD7c//qxuJQzfH79n9N7+ZW0v3dP//nSf0hrgsAWA6h/xrX+
FfNykNYCPKfC9u2/OqT/iZS0xB9LPB49DiOmQyLmF23Nsv+weZzZgU8SDU6f+291T/+uGUGDI0rG
41eaPKZtC0/G79fvNNRjShFAs5ZZ526bmF7aIPTmf+8u4Rq0PJ9BHGqRyT7h7xeu1zObpc59XkM0
AePimAzQiYRuOHfMm19+D//JDfn3H4hv5VsuvQ6+6Qf+/2fvvHYkR7It+0UcUItXJ12H1hEvRKik
FkajUX39XYxCYyqz+1Zj3qeBBjKjIt2dTtJ47Jy91+bO/P2ASrxskzmgTYyVSBmk1/WubIDi/PO7
rK/yf1uS7npAvLZBG8xfJcDeH+9is6OlI2DMYZ+k83U3md6pG0oZ6rNZXWO1qR597uGbf37TP9aa
9U2BiNpeYOuORX/P+v3QmrmzOtmyG6flAGrMQDTLxLG6NXqtPP7zW60p638eIGE6hklAmO6glfrj
umgXt1sCj06TV6NR4VFfykfHATW6garu+wymB++XUbTyBbmAxZ7IkeMlAqR23HhZITUyjvPqpszn
+AnlKEO5JiCjEyeyjwpMMCm4nVH91VuF6xemRLfqpVrdn+7++Th+eKi/nyhLp1wxfNrHgcX/f//O
7EbL697zeIRDhybAFC6P+5JaSE0fSe1I7gx/wIKVSkfcYflv7AujYru3dx0qL0Z/7vDeFe3ySbBn
4kdirsvLpY+nbJ3R0w/65w+7fqd/flY+InZt6mGfBLDfP6umiirTjXZCCLYUzH8tenMIP15B17Dl
G8HsnOYWG3qd0cz757f+90vL4kTr9poFY62RQn+8tRDaiNWeiqD3gbQM1WNvKP26aJT6a1P1vwZk
/Yd3wue07geYNSDg+uMgUdBWPehatMNTjrArxfAeQYuFLMqz7fufj+rf1wJkWtwzPxMMl33L70eV
ePpUNZDPQkg9lPjd9KUbIjn985sYfzyVuS0J+iLXhjxCCzqEu36KvyF5KZZI5V6wZcVaSg43HSZ8
qom1KZO5OlF+NltGvAhT9Ny+ZNJRfjvVbPyXVc/49wWJD7Fuclj9eG786dXFdEn3R/QDU8BWQ++3
6KjQNQFtaPEK1IekwVdx4m6VQZMzM7UaMYW+ckPsyXqzUmRqOjuRg/Dr6pzCG8RyG3fOBSp1v/0v
l/l/OCvrmumQNIfLB5zx799Xhd3NauhfhA3jpM00I1uoAGoc/vm0/Kd38XSDTR/DI/Yr63X497My
QmlDIz5Ak8/7DZkMRug0s/5fvvc/RiGce5LROJA1x86xLeOPYylmq0AoZY1hNrb1ZQm6Lso0IPcj
TlCyiKZ4989Hhducz/37ImHbLMrApLG4Uln8cf/oU+AVZIToeEjapAqtoCjExnaFfLLmukFoYUjT
pdtVMmC3JhRDKcpV5hjOqoVFkOo/W2kKBzmH5frhShwq0aiE/ooYDpniDM5qDAuSZZ9YCbS7fgq6
Z1O1lOI5QPxDESj7e1YDqQwVaRTVLiaoSSKINAJYcUzjAAcDym2iGPj9TaEmJs+ilu2r1szEmCA+
kA88Hid0/22jP4uhHAs6U0N2r+mlf4fjzhehl/bqWMVIhzeqiec7D0V0G4HDcR8m9hp0sMsU6nNa
5ozwKyyr+2oB4ER7cejb/VCNmPd0P4Z5L416eDXrtReVz+Cg9LzlaZMVdFojIUiJ2QA8NWkZOn77
0vVSPoFSRaVuo7amCY8XLN+PY71cIlOW7Dosfk0ANSXvRatGwLfxlGBcy0uol+ki1XMwz7rYgmPO
X926GQBDCGd6CkroVVGd+TZ9ec/4RXhUDN+vUsjBuj5YnsCSjRVKRrTO0ezWc3dKalu/BzRvtMzh
U+JA0MUYxIGocSBOeBQDNKGs8m+LAaE132CivrrCYmA10SjwIoXM5Yq+BO3LgKb8q2C/1W8KX1Pd
uXPZO+468haaiySZwZ/UU6/nxDm3bkP33q7K7LGJBRvOFD9THqq+xsNdsPqRCpnMOm4yZx3PxAbC
Md2qDSzKi77AW/UmEDnliMvL6ObLwB51exf3XpzgC3JmCEKkjqJA7qz5M/W8WQ8hbxOhga2/wDxd
jPNqIUT6Ho7I7m+5vb2O4UGgVhgYgCcrGly2/e82apb6Ji8bHzdbBsDECZ3SFiMZV2JywcWCALhw
OzFdENfCuKEdeaKi3iPCcBOjVyhx/WhyiOaMYWrouTR0wnjJarayS5w/OvrC2A4NohdEmeobyW2R
rzCS3Ek/eHwZWFf0AbKjHAB472IZtGo70pAF4eZyrw0ChkgHGPSjL5wRFRQCcDITodU+sUclLVV1
c/ohJwdIM/lm97BrjXu23y0Fse7bX1TKQL/jrm+wFhipf+WPS7A654alYTlLFuzTtOlpYS9Kx0QQ
mPwY3w1mtrYGSycTHdKZDmBp48Ud16ZBEysgrpobg16zAC9dz05w09a51W+R0ltQtxPpb5ceZ0K8
EpwlrKgX3CPzl1nlDAAZLM/vFSM6PIhFAfh5qLuAprDvN6RNZcazMOGBRgAvsmo7ZE45ofysqjya
Jqc7TTr0oKt6ltapGYAmr4s+8rGUPLg8YnxS3Np5MBc7yrL8VjYm6N0QvKG4WM9Ys5tBdWpXs1MW
2cn38AWFGkOUGqzdjN7HsYqe0IuVcN02LiNYVjpIcHWtA0VPS31ituno8TsuQYsYLStVaxaRi5ha
GIysfNo/QUgee3M9cU+g17eAP6Ow5ltIqPfKMMi8lgwSF40tASlgImxV9p9TngpSniYbnLTi1r8h
x2rEzRXE3rX4MbEkpVfpB3CpHm7ZJA6mG8ac2ZOb+2m/mzzwBqdqSNpDjQwM+9s0Yt3K0266zkEg
KXRMvbXspjlpJhJLJ+/e7/JcnJHqFUR9mxhIftDfccRZIi4jWJR7toVie2DU+vBAhoucw9EfKW89
cO3lzi49uQWHVoMF0rrqBlATZIigavMOVuEYP7FEyymUU1teqp7ACtNijhvS6FT3MypHBKP2XD4Z
SvAtqQDV4sY2nOoj5bg/dfBoMWhM2XwK2sEiatmD7fJ0dgBD+W75Zs9TBb48LQiNKYtVkQjFggdn
oKylvAy61X9iZP3c7SQ4SHgFHo4HhdIUTVqLhlpDHvaZMX3DuZzGVbBhBEQwuaInk26EMHBSJIRw
3CRmQxTHGFTBgxjoKSF/Hpw8slfrFvMrpweGYZjBN+yjrtzw8u4ViAvjFd/oyIPM74vgv1S8/16J
+CZVQmBYZN2yZ1z/+98qEXPWAbqbvQzdJUtOeaMtx3hixPjPlcG/bx4gyZika6GR8Rz28r+/S8Mi
mZqcwNDTsjrS12ic0jTpHgPC3ZJwPjLwnBDWxppc/nrr/98R+ltHiMhxixLyf+8IPTSf73Wf1fI3
ndVf/+pfzSAHQE/AlprryV3/xDn6l86Kho/Nbts3HAAJeC+5SP6VL8KExQ3YmbFbWjdnPJL+JrSy
/g+1rb7+j00OgLj/p3wRk7r19/LSCtZcdV6G9iovx/3w+2WUTFblAdJkvfsxK1s+cM9iAsnJLLjf
mUmyHBmYmKxXRACzyyfL6JFelXM9Dqq/i1EAwyPTxL4tchkB6ke+jZvdT6rlmsmMTyMaevHG1YR7
1lsE7QwGweFUuGZ3xNoNL3rqxNdNVwk0l1ZzmTuD9pkFxvju2OWuaZ2b2Rv0I3rL5iwSI3icquTF
iL3pzSls8TB5dXxngxS8qltlvBL8p16Lue1uSqBjsBu/VKDVF6Cuu8c+T/1dzP7wa0BzSRGKp3I3
JaDuAunJqG8dIOKMHRGUzYTODdAJuqyHn476Hb9UoIzr0guqw6iAHII7u8e3g1GgJ4oOSCFsoTSP
3asYnx7RTsz1/bLvbtP6zcOAE/XW8CbQVyFdI+0TJDoQDWan8LxXUih66edOB3VZQuV8nAl5oRDT
gyb0quokvOrolsxwM0Asy1TO+xETOjBvnp/TVEKF9siQiUYvDzYEHC10/QvMk1k+DMc8Vs22nIYh
BLvkeiHRhwA4GgNJloq9rRdnerW1rN5FCe7WqvzEur66yVfnrFNbHYIdlJzXC4aN2aHpA8T6lEtX
e+qLEX9RWlTXQ8xuq2bgcyDsiPERRXvB+Haud63v17umZren0zfy9osqRMdPK/XeKEy6QAuAxdS2
u+1wJxx8z8e1iGhJHxWG9E+j+0hrCmAfzaxdzAcnSV7tUT4vxuJhoHmyl2xPwMFexO5WJN+4bH8F
WXEif474SeNbT6pHlaNIS6zsCAL/mAX1MenGyLW0ywrJqtFPV3OT3PVFdfbj+Cyq9MBuSF4Z3OMR
MJvDlGqI1k6ZX4qdQMsVOTbWdBxsWWY6YT1rt6pE6wvvtQUJPcusfkDcDFuOWQ6uO4zDmldvpQHT
xK8PXlxsszw49oA1fcILlGntaVy+IsOCr+LvzFUMbN9qzrbo3Ts7fY7nNzzCI5K6Afy03q+7O2vn
wse5Wgxvy3W412ss3VWzw/uLBMbqCvS/t9KFUo8LfOcoZ6+sDhJFUxMf9EwS6IF537b3xZXruk9e
h+OiXV/DwXxY9kmoM67xf61JvKmHb9ubj9BD9uSIGnvdQtAlgvxRtFa+YzvzkBTeBSKaDpCCaH+B
tuW5r93AEt2WTvDYZ/5jqtMfGWOq2kyDZd7rZIJ+Z/hqhgVidUVK40YwvcTnvE51RpT5xVQDbRyo
u0Zst1b5i/mq/oZhtrx0c0D5tjdT3chnA2qGBbm0rLRDhfRtCIIdQQcAlhbz1+ypdJ/ayGkclPrJ
F3ftc4pxUxehwK1X2ZdLYX3bjrxL9ORxaowgDGo5EuirXcsCtXam6ncD9gpVXN1sxim/S1c3JM6k
61g3L9FDoRUTaJ21xL+JjYzakPpduiMRi+p2gnelJnx2w+ocLDW8J+U9mISz3yJFIlXuVu/LV5yZ
XJ/FZTPLVyyQIJ71rUoAzSdNPgOzMT6SUX6OXf+kYkJQZA8RCB7MB8+TdzKAz4YyDyYbDKa2j37G
/GxI8re4BjIwTmbUoyziivRvGWruA0PbjZm6HpQbMtEUN+jDwAGl+W5EWEEB5zdcngX3N3qvs9vf
pBZ2keZtqoE8ddlFzqcqtBdr8kPVAYdM/OU9jllykJoGatpgM5BcoKqNpJExYr1KA2Od6rKfVm/D
WM3vxOPuTNyPZvHYxmedZVDX1S/8Br+KnFTEmoDO2UtWwvX8axLdbVtWt27GZbB0/Tkuv8B1woxO
33Byf0wWdPtau+F5xDVLOjDsaSKiNriCQ18ESNq0RAuNXlSh01q3IpafAj7VLnDr57kab4J62iUW
sBuIZOBgPhYgrU1gFJGViaOItWpDfNXOkuMQAv4MF2f4pUz/Ol/0J7RsV0JPbzCMHSdAD/i7hshr
8S6qAV6tPqbFMZfCDRfFJncKTOruGpQXE6NwyZm50McYw3TIH5OkvqmmBDouBPHS6L9IwHqYdPnl
NXZyrnKm4Fi/I6zEGAPq+Ni7ey3uz9nYbzrHxZlSVCbbJBc+Lqk7UbYcnfoyBxzqjOoSGMhXwF6c
H68Qb5svGS5l1QaEzGQ1jT4NnaY+9lfZ3DxlFZRbO94aOmcCO4fGtUe+ggmq3dWbO4mrj2vdfJ6w
0DzrDHZ+Te1MPMqazFoG8sDkudrMTafv9RYaHII+ogGL6YpF5tPIyusCqePtQOIm3X/BrWufPQzv
oQvswsKHxaOcRGLu1ZbYR8QVr2L5crpqG1vGZlD3ts5Ix0ov4k7c+yteYDA+81Svd7Uy1MEb29BI
PvNWQAtBqIFSLLQxUXUx4GFLdCdRTSilbCM5jPIt7Z7E7IQx5xrDKd7H3g5dEjk2HQN/Z3SiMhA3
0k6OnVEeCOfbpWlMZMNr6tXkxaQ7x1pCv3Y35UB4uU9/qT6NZnIdNEY44J7KuX5L7UVifk3xY2JJ
89lbsesleiBqXXkywQkGLLZGyfkLTCoHPUrSX75+k4Ef6N1yn+LcRWR1pdeftS1eHc/dtAJ6+pRc
KLeMxtR+bgLBUlxH6FVXC84bfjy46kwLkIOGSd5ckRm1S6V3MEy60gHEqcE+Si/dshk+OwYiMA2c
m5Pt+nbZpRY9WVW9FKV1VHJuIS5ftjBYdH94kzBLjBGQowHWt7CitDF3tRGjgE4uHOcjb6wbgBqM
/43D1Hj7pjFuUy4Vy/qlgpiFBf4xzaLaeBjUBJYi2VZe8lYNbZTrz3Lh1pHLjdmX113Fv6KftsXe
RIAOqQr2eJKoADZ5nUekE1CG+RP+9kxF0IkfaIqcClhIEzG1CSlsZPs0O02RwoSo4SB9OyqVrUgz
WlbsuFOGPGVUqOBXc9IfeCJFDtVMWgbGOai9eA8196ur5Hxto7ZxAanOQjoncwr8HdbJTzcrL8Fj
UcGaaA4S5R7TBfiNV1yXM65R3XyydWPr+ullLFtWRMS+nsRObxBIxylSDNo2AObGK2A9Gzs9L3X3
q9ModkKHfmwUz8zxBfZ5EtaRvXVd9iAMyFWj4WcbbSEEYvDBkxWzdMvQxvs+oG9Na36dvBBysvCW
00g3sn2cTfvaMT4kSQoDll2U39ucaNWB+Hg3096zLN7Wikd8MDRnB6xjbudXqRig1nXeDsk7Onnr
AVz4FMl23ooZcDpQN6QbW9ktu9gKjpR2W9vMosDttp5/mZUIYqlKygn1s4aEdRzs0DLi15iyFqkL
TteGzgQkkrSY9739HRsvpkWVtFnTfoB5hWZPcAxOX2JYAKH7IG3yxN5m9l2rrqhmw8Epz+4qzu4P
hjtAslHcdDQhLNXtCofpdTkl25n9CtPFg9b5UVU89TEgk665sBbfhLMOaij3EQ3hYZ79ITJ4UB7c
8aHqX1o4m/qtPz/h1j1YGLUFMLQhLZ80+mL9GlalEdU3GNYzufPkbtwYKgAhqH/DRyMACUsxAw3T
KIiZYj80vqaTu18C/0myMCf+L9NY093EkbR2LUqIYUozc9Pzw4ySHuJ/qA3DAyGHWwzAuLFwFiwt
8aPTSeZTlBTZzlhcFmFx77R5v6UQplui0VtP9EujfKiCl1wcx5qUKILgfYyXBNlsA3eLh2ODdXBD
nU/XO8auRuZraFooqfG67YxO28ZIymkr7Py6tY/MlcR6QveAZrM90TyRllLOL+ehdKKlNKtTW/gE
apTvII1eJTc8YtZqCwDnvl6HScQYDJqJxZmocFIgHgDxzfdpA/7Au3aC9FKuhDGz3gFa2XMXHNO2
OkinG48uoB1Oe1J/d63wDknZbF0dY7zIj3OLfcZycHvEd7J/oqlI08p66jNEpQbR2wbmBavPH2Ir
2+ojZx/pUpFZkeBJs+8MUgAMNW4I4pEXCP03s9XvIfIILn+fx2pPlE6dA2nU90CyVkURKG4E1HFs
MrFjPZkA60mjlVE5mxPFN4R3EmTabTbPDz7i52Vczpj694OFzkg1NsaAJMHIrCMO1gF6WbgfdfpZ
DpmROxqskZXQVR6ZqS+pDx6re6ZPvZW1ecqHcjvQkSTuAoQdQX01DDxvpJhI7mwibK+chLrGLVkB
8R475vOSMSCxtatGztzDzHFgq4yYOALU92nhbMl1TnCfJGBymeyaDTW8k/soPQjRYz1R+dl3+H71
LTS7qBQYXiu0aKsfMf0eUD06Nmbp13HKoITl9W5Kcfa2zh15XGdCiDFxNlvatveCREt9ufNT+NjF
u9AfvKQ+xJwtxFghXO2rscDc3wS4RJQzHlCZ77oUFSAP7wiNAQz/6YhTlKY04LBvbepZXhpFlJp5
BmghTg0Z2ZU7FNcx3Dlnjl8JwzrSpov0iYITaAMNeai/WluevQk/rUe12jZAf2etOflpl6yo335F
fIezI/2NySY2Kmol69At8GzsOmeK7S3bCy85499ZofzGJD5Kuu02vN0KmVy2Nk2h/Ii1XKue5liS
EbDkbCGz/htSO+C4YoebvjhUAg1jTgAOz0hN7y/mCfV6nxJ8iQ9V1+pDaigFEb1Srbz1AzkZ0aC1
oAvbUWcmW0UWmXZx1nMtcbIpoqnEb3q6oGjatsKfKSYL7dP1ALmlHYeNgJNIVO6q+XIxfDrw5a7k
0Q0PwOJC2rbdDPKHwL+qVFzOKRoxbA7BAE0HMW+9oVcL67ir+PVhdJ+ZzXcfLm2CyBT6GFlxX74s
yAEuO7j04p1pUQqXp45dfBpTetMvbtNe4zdpkq0Y9USLiAPP8LLWoDepB80nGiDDCVrLfF30ASvk
1DYPFYvjEax5c63IIaPjTvVnQWrSftHtJs+ujgGf0p75JtCOrL25BCEGt9yJ9LJHfo+vDb9Fnjw7
fIdbJjDr5Thwlhe33RSSB8GcoC2XGTYDXWs+CnJlCHv27tqWUAB34ICRpNiPc+HX22FIGW3qfP5K
uXGYZ+1ADpI3AVRiB5ulffmBywrpZQq3k319c/bGtbPkVd6bjtWL2atmjQ9kxnpvMElMdBoJf5d6
RePEzwZxv+6u9qhcggtdjfwVsNLZn1x2BMDpKSK8AMWk1CTYPZXQ9PlhWzU5aFD2YtjBfEvzrwoe
gFckA/lXPVqqi6Xg8SD9IDvDufAvSaPjS57F0ezcB8u1mlPaKvcgXbBavsmWbGX/FXXNR+JuJjRo
zBlMxF4LR2n8pNXV3WEMgnmGN4ePXpMnsdSwCX+gahXULR817/34Y5crsvUz9V1/lNLlFzvB662I
w7HOcdDJmVdtAtKLRgBSaCPSZ+TBROAMFiX7+payFfTnB+lfpqWEXcnw5NDYwMqkUwBtG6Fxjet7
Jk0FxGup1DUxivKy4OxSHWTprQ8277a1B3kQPUGkUzkc/c770s2W1x2RRI+FBRHFXPzL0apw6eEy
4I8toDFA3vzJB5giA1hgsgSviJPHCtGqwMbJ+KDSg96mx/AU/zpSE9xK3HUxbQ172ksBNJdwojPm
ZesVs7r5mmRMecZU8cLrd9usQDYciNxaFWTFRgCUlLT7V+PhDYybgHagcxoxxeztDOYbY3zIkK5k
Iz1ai0WBohnUrMszmTDjvm21ewx3HJjFVSTm6lMaZQq9ii9Yz7QvPbFwnnvtSjsOvvSAGyJpPKJA
VsqkTIDT9ewtX/Nav/u5mH4+AAiIdwa5b01OumLTTeUdlD2+8EB7GmM++M+H+0mmKSrAlD9fkA35
dv+DnpRUWH5QsTigjCUXU4QF+t+tbRvxdRm72aEvGJUzReLRbrkUg94UXMgYxRrJVGAhGILsOB9u
y5fdrOAEWSl/bw+cnjIP3qyYAfrPx6RL/mUPuKNgKkHRCsBm/hAt8zG4GNvk+efD9TEQWc12nTtu
OfZBxHJspG5B0JsBYzEdnzZeCcE2I58uaVY657h+Mz1brPX7w6JzWnO+akHYZxF/FUgWMInxvYxr
Hqs/DKihk9VWbPFhCj5IMvMOpNQ/dUb6CZLCw+6msSYy5dt268XvEym9y7nhuZ60LyuIYZwAJ/R0
YqEp0di/0RncYIvDQ7f2aH3eTK/tG2CeXzFzfMypjh8hsS4P8P9I81nfHvH86ScF9ecoGQHyI0iz
BzMY3u2eF/1BjcrS5RafhqYnMhmdxIhiCe8nhFHdBohIgCoYlmRl+TFyjtJgORXmeoA/L8eS8/Op
ugmMqKrLK40smn0tVo/B+oU0EjSLXHGiP0fYoDC69if+OnoDaiI5lHdjZlogpyftrNmjf8lo1d8D
ooJPOjasF2JMb3+uzlEs0wfmg+6lMcjIYl4NeXXg/ceRKyNBMPvXqYaUiEtQMY+t9RmAcuGx9vzc
UUnHivPXiKIijEmmEspfUnAVB0q7Z8tEJyKX0JG6QPgPho/QSGbgTX9OxSg6/ktScGT+NHcvpQaR
TGVvbmfSTXfqeJepxHqAWe8c4iJpH3DMIpDNyNHBeq6RzlW0F5Op9JfAzlna1GFts/eCQjTBhcvJ
0vI9jyD3tlsqLexHce2b+NYGRrBEuInkbigEu3r44cQZsQ+g8tvNpCCGRur8ykUdLlbrHefF+nYr
69x6091IgirBLcZW80EyS4QJRmo5O9WSRt4O6hgv/ONZv+zsEexnVZ971WpP6QJ/bprmU4+b7eAa
PNGEh7akKcsbpfr2uuUPQTd+B5goVZ3WKOflO1jAC0XVi3bzYKv2zSXU3efa32RVwR76qyT6lEZb
Pmo7OUzPyrK/mTCQhSXfWcFu0Ha5rwA9P+FvnIsEyp61bExzvJ5sIgL6qT6y57QOnT6oCEzEK+Nm
+rSC6GZZimvRBJSK9a1K+lsEEZ9ePJrQmfUkdMDGwzuBMgxg0ZsderPG86Sa+47kmy2bF3hEu9Rv
bmvimQFKP6aue3SU/2wDSutsK7idBjpVSVt3Q6gxt4cYqboNm7UvAZuR8F3ERDyw6NqAMwyK+alL
QcUnSbDvHAErfzafusBjnuVcUhK921UAvESaT0FtfavMPowBpB1p3mXjmtwIIdQNNkHrEr5FhJMO
TLhYEYeuARGpFhBI6lw8QqDS2KBcpWlOdKYgyACSYmcfKc7etFLfpowOkFL558Yx7oB4V9BjDaAp
Kz1lsuewU+kTLo+XKWngr0PmpdalQO4KEWX0xTYuixU2zlPtMs7QC98JkVIc65EQ8nKq+62fgcNV
ooDs6UIthjT71Mn2ZYQbsGqI8m2rBeXOq+CBjp1jbxSrVBSMPltk0Nsxvt5NSx877Acrgao2zfdS
vRmxHzmQVSO86EiRtJY5BDGZJ8IUSOxLc+PQcjMBrSqnx5KC+43U3vyoLZaK8G/hKC5J/+DoSzji
vUlh6dPZH/zhWoc2jS5mWLZzXhiovtg5TPNS7IPGallEtdsOQONU2ji2BuluGUmWRKwJ+0GM9RcT
n/KEJ3blo/dETLNS7FBZZ2cT8Saxtpp8HgyhIrr43U3jxF00AHtY38Daj64sfhUAC1k1fcRoDo6L
vdE6xZWH5foFDqd3yhkjQYxOyV112d7JFpcYKVXBKeHChgY6uN6RdIN05+me9ZSASYQiQN2a4bZn
9zEBDVO6MredS/7TxpkdOlZxaZ1kreFJHStOhpMYb5MNQMVmrWs2XSlENKGU+WRZ7UJ/0EvcJylc
+FLL9bfGWRG1Lpi1s5OQLID7KqtWdyuLaMwJ2mgrMFI6UO97lTE+nGfvKQ+0GJGR75xKi2RvwyaL
deO33LulyIsN2r8q25gGxMI2oYCD8Zd6CEqNN9Du3qbm4UOa9NTRMImba+koC1HKEsBJDPQw6GUd
KRxrF5MqKyr5FnKJnxaQTrnIyfoWBtty86X1xfRlMpAHTj4Vod9XqMPXofXGcXDYbEZiJVGU5wix
9JpKVO+DOduTxEuzwfbyCB3GcCS1jSw5lJFUgDAuwYrxBL6IkyB+KRihvP9gepNGA6RXlGZwYXsU
buME5dc2eY5oSxvc0xU1+NcLiak+xvw9RE1oW2vJO442hIe6DcTaZ25x3fcuBW6TawFpEyMJMcMM
Vjr6q2w1zOwMCg5UcCFX5S1RwIitXHqllabIv+QUIOrnkUljm3EPA9B+h58gvswVh72ZcjV9JYbJ
2lxI86pIONFRE3sg/2xnJH7d7RcDc3IPxndN5kz8kiLtr0JbUOqjUXX6Dbl25A4mNTU+cdXlXSey
5KopOAclCEWuntp9sxwhoSRp/eNg2vlFJuL4cnZL506v0upQKc2NMlh7kNlMZzkEnU6II7wKgxjm
Ye1WZxljP7IzN11q1XsizR7Y+hITVA3eo9Sy9lI5TXzTLXjPUhzF+JPIjsDrSI3dct3phLTsdORc
CibBnYlU5bJWzNJpcfdBhBoRedsyVwFNr8zZM7g28Ywpck3RxKcFDRJH/TKtAR1dZ5BWnC3jeaK2
Zs9dLTvpgBq3J/pVWNPqfdW48c2ymOxta11eWFmaMiruM4f2niGNL1rY1gVIl/KGAbCkp28GbC8q
OsoCnjUmxgFRmsZY/BpNpK/vGgZ9d7gEyud5bAjiIWysCUvfkq8Z5I9vyKDV3nEbraYBQR8LtCLI
iAR62l1VOvEhdp1inxmL8+w4GhPbFqvpVwkMoyZqyTeucTIsW6KPi282sP0XVFLzOE5guKB5K/lm
eH3ire/ZXfldZp7V2BbdOnrOjkAyia2vS6c4OMbI8KjDcEnmIx3IKS6TC3IZffLd5ZQT/dgG6sLx
BkJcqsQcdx2ea1axwvFeWi1vL0pUecM2yOz8Q5Je3+ExzMV+bgbvqvIH8x2aG/y6zsyKG484I7LH
EvykiSAiI/T1DokgWR2UjP3Itatr62W/VvetqxdnQ2DB3aiuB7ohhc3N4ltkWhI8USIMrt3LkjuY
rESSjclUYCyKJbWz/CsVK++m0Np2Z+VT/Miojs48Zf5lrGn5LmmRCYf0gp5KFz7VR8BOm51Urwzz
olm3KmHKcxWNZS64qeoZughPTNRcB7shqR7N70RpAq1HO5cQrWnNUf5iORVzQfvMgj/ABr3oTkEz
Gq+ekdJ3bsmqq7CyD3Z+pv2mQulNBLYsBjTOCxFk6RcWz/EdHWr+MCkjX20eXuJGVGJg0AXnk6uL
h0kT8RDSHrHPIl8O9Jgdl2obWortlJw0bYFgTTuFqbmfms6FUXAURjUupCVXFfYDFZgzYpzFPfGs
pqU8xE73PAGywWCiexx4AfnzS+sN75U0W4SfZgYO3/CYUbU940y2SrI8TgbIIpbah1ROt3PbCHTW
Dbhtz2+/nBmosLXcw6loboufXrudHMhXoXXhZwudpoEGO6we964CdAZJdJw/0CjezIupX5SJRrfQ
43fjxV8XdRdhI1vyYssFakeZNSS32KycEyGfMD5F4m2H3ncu2Pi4ty5Zlvs5mxAZgT+57crUPg/C
c988l5xuwhJivsi1sPTr7rwEhfUxQRnYTdQXp4ovOoOjEsdlNJAvlU0OWO5R2Z/oBhAFAsqs7zvf
nOpdr9HhOrhZNU0wmpFMRwuq8HaDtDqY9mOLphxFeRFH/lCQlK3UQIKIscJtkXLvUws9D+121x8j
Z2h0Dg+TixfBCp0i6EfyWsCdarYCvs4SMjUiOLXzvU9H0i+L48V4Gww1HGaxutdXs/wujT3zyXJI
tmSc/z/sncl23TiWRX+lVs0RiyTYDmryevWtJUsTLtmWwb4B2H99bTqiKm1FVsTKGuckJ5HW60Dg
4t5z9slruQsmJ/rS1FW+8RwmJtrNP8UmNa8kgqBcmb/0XhDes8kNPJVV0J3mIZq/erUE3AY9j8h7
WhNsSVxMKRXw7KNNomfPEs4QDwd6OMO6oh6XNI4hNxOldAM1Ze1fA3KOmzkDD5J5wQ0NXq4H00A2
eR3yAd2CvZ7KI5HnBWGM7JUkXJaFPbDPqFG9kUabHKcRSt5Y0vhyKxe6HrVaUQh+acD/KPdTrkle
UCNq0TYdLBqZO7KvAqo+u3xlW+xvlRzay9nyh8+G/OCcbWw7kgECk5EIEpr7u0ERo6TcEDVORDJW
P3nI/v02eXSWzH/1ve4cXtJCYJM95SchJTWNl6e3U+TGX8mJGCi2jURypL0zejnUNWCo0cF3N/iu
qwczORzSlXeUaMI3iLyvbBtG6wbgAROYSSv10PrDc6duHHcZaJeJM4ROJdNHxo13A3Sha1ON5D15
Q3gKfD2fW0VfX7OBSgBXxPhouDAH9h95hlI3/z4uk8qRzrlXJo+6i8JpwcZzKbyNZ7YQN2jNfSnU
Xgx+vtV0A++qMeU2E8XlKcCWzvdNmK2DFo2Y7HLwdilO+UsQ2OoKfcVeV2h/E+GUKxBbXdKURwZj
1whDoP/u5USYVF+F8rEbkdw0TgavKFpegtz3t4QqxZ8xn7jHNvQuhMlv85DGXNTI8sT0l9ZqMgkE
a2bekcVGvxtl+wn4q79bZnA0U959T8qc/b5Rb4gmQdLagufD8poNCinogMJ+aW1xL1u7uesgBdwr
R8UHfArcqOv4Gh04G1cjuqfG1vbGRWZN8zv2rouuCF48CEYwK93gu1rI8UyKPBs3doIlET81/baC
nN/Ov6Zay+6cYCJKzM6jWxpr3ZuHteNYWJ1580TfnhPIxIAYKRhBDgq6U+HaV6FTK4a1TcxMY+F/
1IBvpHKHIw3YCZMrPzpCftxXGsL+pQjy8UT26wRpK1LqiBEm28nF4rmA6WlfCS3SrS7r8iILQbFy
f0KP14zh3h9nEgmoqPrmMXPzo8pDnrjRcdPrhgnUeWGkvo0mUCwlnITHLm/nc+otn9s9vaXfOzwL
h9UFFRbdoNBe4yQsQ8sXhfu9xkrCuFCps5mm+N5FlgC3TnC8cxS5N7rAV0Svsj10RcvcIyH9DVcM
1OulQyRied6Nj37wEoOKOW86mdwwSc/3xFDMV4kozBmDsOUEgRdvgfzBhnDtT35mVxcLtM+zbkKC
RTuFqTewzfQ6KOhVOQC2OZaYZFTczre2FsVNpivvoLAdXevSjy4ILkgv20ZQweDzO+tJqDzAwcCc
E8+zOkvihn88Oqe+glza2oYAdUHD0VrjLHVxaZhwuABgSa55YKaCcXWWIXnB5P6ZnSsKBpJSk5i3
wewyPsI87y/T0M9YQb7c1R5qJAn6hoSMCYVHxggVHC4GgAJEFbMtsskvRzoBmByoToqipOEUD01x
btHbRPG1RJeBVwoyfB2X6EGVctgB6W/OEj8ym86IaQ8crT3zmjb+QpxAdL2AEn/TmlCeAcYnA+oe
vw6sdIVqDzQgLcjEKu6DpFffXK6d5xCdOoKBpma4pPkX30g6aBfubNPNnyv7uQ87IsrXPnXV0pQe
0ZWTxUY3ULe0QMO4vv3RV4SzytS4JHIIZSYjCZlb47vk0vcM7So8Br2jP6twXTQBDVoGS6QUecSU
/Bh4VK2mz4dE8SwQjBdq7jZ05NI1HgVbJi+VGd7sglNm49ZW8uwK/Bm0n01xb6EoPWAC4vJCQAf1
Xs8AhI4U1c6Ppq5c2/uOE9Hk9bX11QkWcHpkFRJk9kaeyXgHm1ntiwLOivYLpt8j9XI4rzO0MTc7
YVzxaLgmHqJRP1nBQ2pQ1WH8uTXRtA7zmh3pCvRoojbYAKavb6ephG4hx7s8m/RBR0QD+VRUG1qS
7Tmar+BGYd7Z2T2lDLFI9PZmg87SBOFxEcH57BEkhVIUUWVTUtHENdg7MZlNzBBDod2xnB3Uf/Fm
daE55FW4XEP+hbHYR+3FlMIfS2Y+Y41km5NqhkA/Bt6tjM4J8kZX1JTJw0yI+FcV8bP2xP9NQ5ns
uGlWLFMqbGM5HE05G/dbXVVknRD29kANFV0ynCvuXYsL8g+hcNXyxVrdoPCTORTaYea0DwaOwOUw
zSTGiJDVYvn02mnBphduOHIPTnsUVmCNNQ6WKXHjlx9K+n8bDH4yGNjEi/2VvwCI61JXH0hMP/7N
H+4Cz/8N6IFlWZDGrcCS9j/cBYH8LcBSYPsMwv3I+/Gf/nAXOL/xkCD1D2ki0hbxXfkPc0EEpCm0
3MiVuM4oWv4lDhPl5gdrAS5ZOvdhiF/aR70tPzITxjRqEbO3aNvK4SnpTb7eaJvFdV5y6ZFI0U8W
Uv/dlGo9McGGXAlnphdCkPlVsR/sfWzqRB5qCvkcZhsIdPrd5XfuF136hrPbOyfhZ5BXSbWmqDMt
bpsbPxkN2i4ZtNOtGBetziZte+muWRNl8mJqBI5VRt3o4/37bu3QcrsZ82NtTLfDljmhXuk9ilr2
llYnr1VoCYHYgWQcUjeFw7ytb5xDbmAaX/TRbL2Kuq/5I0kCfN8uu5PCmrPjQbSbbwHROoec4Nb0
MbWSCs1846Tpo5eBUPTpkcGIq6DjOe6lcAkkGvwFLRgJPZgJj1ITaoQErOpGalDquKNoOtsFqsbk
LAOonXwhn5Yt2uqZkgza62ii+mR4kDJLnwaHHJ9YbZY17IlKKCGOfuR5lmsYlGa0HCEraoU8RxfT
qx2xeEgCqrQfCUGFWUAycM4dgJ8iqGGYlo9uMjKYQQxilddmZId1zfS5wvmCvKBzF9rF7HUEFMHI
sOWUvaRtj1wpD5wvkhCK92Es/Hvh4clH0UIBw6LtT9qjaUrPtLW3smmaa9VWxDgvUXGTQLu4pCbQ
x1EBx86gc2xUrfQu9bmSq2wIn7sxoxttzbLa2EPYfyprmbd7EgMRRYRje5CSjiOxR/0plta8cxaT
PminJzDFlfmVHhp1QkDhMZvMSESGyIepsCG0Jwi674ToNEiNDLjxjjd94GitP+WFL+j1Tf19ojjx
tBnEy2xgtSIUDrN1CVTx2jX1kgIdD18HHpNguGypA3auyTS5eETDBxjwz3OfwIfeStpulxpZ3dtl
UH0TdTV+SUzYP/CtOc8izQkiIkKnQ2eaT6hrpPkywHZ8GT0VIkBD0NJvwpni1yE2gXVAbbNtUKqY
Td3Y1ecelUXxBBPLjopTQaJqeWZKPDhfSAHuydDUxVBZqAu5r6KY8LeQCN3lK4EkTbZ8m4d2sFow
TeSxHUaqDMQkaT75zpM/JDjwEMuXCKWy3iRfXIeZNzj6dju6yl47e0izSe/43tpdckoSFVwESCxO
Ga3pBxyV9KHG0v4a8dTT+cAELYf7Mlxkd4lL1yUIfILucTbVedxST7o6PkVmRlLPkGbIzd2YpoJR
W2fiFS/uzAvuBXTEkAgnYsAvaozrTKGZL3M3oPKbns0k2vMszyzx0houCzeRj0eQ5g3KuS15nMq5
9GpfTjuUNszpN9qMjjnruesAoyR6lViT2eoceggkaQJLr3Jf3pBlIIOB0lrkQ0OCA4ah5qUeJyJn
olAn1RVxJSiMnV5AAp2yBpjrJgnJIneDJnkUjWA+VKVp0m4GxyrMQ9bCyjwuwdK3z4EquftDO+S9
dDk2YaxGsJ7Ii0G2jKqD7oByUOSeW1XBYkOkEIF/qnhSt/ay1lkqhSba5cPswrCsiELYNUz5WhS3
JrvJ/DotyUMYg1i+DcDBUroC+GTHaxkRFnkswIjSTcHCulWarBtjE/ubuQzwPYbCiKcuTd6ARHaj
go7UCH/Huh1lQyReHU1It8N8wqwZVhRDypgjCOjMvfYC+AabicbYdTZahgee4VTBELMXM3bNeRDW
ZUn0KYzpxDpIckg3S+uSO5A3xFOZyHodOv8NpVs/3KB6sSDNotEddmNIYVappmO097sYpJhKyeB1
Tdobe7pBlxmNXipOW7ZkUyozjZo8jZp7JjmHdvRkOW5CDuEPAc84AkS+VMlQDydjD4xtan/N3KnJ
QkJXUie+uqztaPD3VEQ2TYdW0ZWUgxDTa2SSdnr5IX5JCySc9lahrhjeTD+VaM46K6xuZ5k22a3y
iJ6W9LIkUqqiIvbUytYems2bZuOeuVNe+8rol4X9VZ23XPb8ZxW6TXthDcEsT5BhEmh/5Zy8SQaK
+moeeiu9tJaoYvnmIKT6cmcIYBlRmBsRPvpRyNrbitxf4AYKoqlogLnCD5C4Vrroz92ikeNtZgey
P0sYalf3chZVeT3O8eK82iTf1tshHVM0/HlfDvNZltJSuHFa8sl3/kC7vdy4nENUph2bA6/3Po9D
8bIMRUC+gXiDgZpfQGY1pyCZ0CKYKrj1M8QhX/NA9ckz0wHVnUVjzfSpMBE//YbAJDIu74kTI4J+
wqaNWyVN0/ZBxO2SfDZQfotjN2QpNe/ESAUOetgKe1t4S6GIFNLR15zIDib22Rgn066JvDnaj8Ua
wxt1c5qegBaQRpxZhEfRfkyWLyUXUErpIqo/jR5HAp2XZQ4b/sAyjGdEUDntCw53B/uAV9PYvrPm
aabvjIkHRHBDoZz0kX6n7HmgR+v7O58ctPug9qej64gLDCSPAFLQv/Yzx5x+94aE4faw8Ksj6EAv
PpFPtY9tIpZLniZWtAuoJR/PcYJ/GSomEDs/J2vzwU9bQlaInSpT5+SX1CufapEzQYVPL4kX7FxN
O6sNoS2AwsXKt3eRfyMN7UpwHJusbdCMIHdvggc2dRN/RmTPHdPSTR8cEiRuNW4gOtwcATMqxm4f
lTLVT1kHZGWLAchb/6yvFhudCIpC6Ht9xOzuCVxsYMy+7kXAiqhwlRh0IG4NjT3os/E6j93YizCt
YYlvwBOg1G+nUB97P+s/IwFElQXep4RlEVbyPiTxIrt2F5oNqNQ1iq+bpnJF/xVNbZ6RGzST3xG5
k0kuisCf1YUmZqR8oC9MvHXVK9V9Em48BE+JYqM9NbMx/TYkXuyisYAMnKm5szzyNor6lNOorc8C
d4jNQQZ4N7FUkGxdH4D36OHArLP2d04RNtdRXnbfsok8Dtdpq+fRn4jhzAf3KmtldcJdkJ0DpgJr
YlvVlzTCqznB/5CniVi84Vs7d3m1FZ3l91dDK20qxSpkadDWp6nlRWU7fu8CiIiQSJnapUdF9+xQ
pSOsSiTFJtzFlKX+sTFWPx9SIZc1kojmZYBXxKbJSAGCWjOFx9WuRJSo6AMGnEqjc549T0/nPaFh
kKZGOYSsMDEOtAajYDEXHLfpPRQqKcSet0NuDO1Gz1M3gW8If4D86Y6+0+HSgxKiMHvGzhLrAO1H
R0zlHodsl706mSdwVP77PkjcUvezddzxIq5i/7fffPOWpG9//gd/XAZl8Jv0AF7BvgUyCGsLP/kf
VnPX/w2nkIvPPODeB/CLe+L/WM3D35hYAQVcsbsStNFKFzI0pZP/+k8w0L9JaRG6KGEZoMMI/rXr
4K+XQQ9Y53of5b4JNtOFMPerz5xFN0WJP42wcNE9LFMTfpq6caRbnyUPP30vt7+zkX5O71j5Cj8T
k368VOR4EAgdlyyDD5Z2GQOkIw0MMlGpYZBLZkt9Iey/wYD9s1dxCN5YP4zjgq//9QMtNY8hmyGm
lYTYHy3r5lKCnrj568+yXuL/9GEc5orkuoN5AAL168s4YzbojLC8TTd4eg0Emi/RnvTXXq+8I212
EhvU5G0AG6887o6EygG5+ZmXSRLMZjhCf/1+1u/u43cLdsxd4acOYX/r2/2JbZGGldNR+VI7zasD
jbTAi8kKqkMKfv/qr1/qQwgLq5IlQ43C1Y6FzQL+QHNbuURZMPM7gjV6pGFLdEctj0SpMZ/zTl6t
X/t0fO3t+Cx144fK6z9zd9/Notm3XX4Gu+bvQGZ/Ir/xjnzLYwptgc3z4X/9+un9uPVzl1iSFXcU
yfeSEUp+DhemN/sQaRj6nrat8kOeLqVzb09O+lWrnhzSaoAFsf/rr+efrD9M2jyb8D8kz++HX6JF
npZQNYMK6HxxlvOTXbqu2//Ns/RPfu9fXuXDJ471wpUni7HmhjAgJp+IKe4EzQ73cLH7/3ygiAfW
AYUK0uTXL1drk8ZcZ/C/LCo5ONEkDo3DCfX/eJUQMikktZD55gfOZaToyRPcy6Kqs+x1rBdzLQbh
3//1q3yEs6wLZd1tQ+kGnsvG++tnETJQzVCiJuAakEEoa9BM0fJRe+Wq7tJq0vzS6ZvmXA7Z8Olf
f2lQwRZXZPgirvvhAyI4rmz09HTusSVdTbY3vhFIIs48FDS3pYg6nJi+fwu0JPibveHPK5LmIQ3J
FXwDRDT6sFWJUfme0MiZstBtr7K8qk/MpszpX/18q0WFnw7KPP1F68NXm1jt4NNSnwEoNPeW770N
bvgYI3oYMoNwSHWnwNW/1x//J8Ny3ct/3fVCvkwHlAt9SQKwPnynmLRG1XbVDIx6QsgY2uCSrqJm
6apTY8vU3xruT8kO02YfbAbuu7hbcj/Knv76o39oqLIhYm6LWFuex4HAHerXVcWtMYminLfBiIVb
5xSTytzgbCsYsW/dTrfHv3699av8+LHpBlu2DfHfcbx1c/hps5/tJYaosqbej0mydbjGPheKQezs
6WyTpEHDtFdGf/P7/nnHCW2PNjQ1pMsq+nEq/PSiCTHKQNlahnouUllEMWKXuyY6NNnc/82O88++
T/qMISAaGVGdfNhx5EjoTuxh2ObqA0Q9TFyy82Irt5Dgprj37Gyx/b/5eH96SKjPXBvIM2sYLlD4
8SEhmoOmY0fm54Q7W+iw3cN7z//mUfz4y3Fg8ovxm60w39APP2zboYMCDT9+sOnj2LqfIvLHYtWf
rR2rjU0K4/1Qz39TDwEL+rBc1hdltTgeR3XAxvfh67SHuZxdxusbZ7SzAm7KoG2z1QMbxnvZO/W4
epmYLuJVaSYwCwyXEaepqogeM4zQ5ZXJTGbfRwBCccaHQ1SfsnBMuoci6bhMTnM5iN3Mpah6Cb3c
Qpwa+TEAkEkF7XhRO1OstzXXnfGVnHeaapuONOPldg5mn7D1WqdL+44YbEbi0Tqmia4i9GD+RmuZ
2Oe56vAVwwy0pLxxlWWqg9HYbomvmbLWuRgYkrdXTtCP/hWWc9BmfelmoCcWgse3qVzy5lT30v9O
gG5SbTu785CLd45wiAhr+VJwS41UcdoZu1uViXZ+IQtm4YUR13G99kgFRReje/UgIRQjMi1mCCNO
T4uevmGSzntPEf1LXJoCjgQVf8TkIWHhgA1eXsp0AiRUgQiY92HQE8UA9Q/zNsqxwF8p/3FFHOzS
LE+9w2aGiHINc4F0J5D0NWkrT0uulydPF+QNOSOyJZymUYp6zoetN3dze1P3Pl+QHtvgskPP2azT
XBKAF6zc4UUEVfB1Sb0AuE0aju62jCovv3dGhrlfKIJo6u0QtSbjvV1jTmtxmBNsCrWvdef5pXKB
wST0Nwmj+t5afXKGCGbqr0cwTD3cuLl9GXRj2Zu6DsvXkXC2b8RD1Azbp7K0CX8YkXLaeuy/jgut
+K1oFwRSyoYSerEETqIhDLje9eSFpoUfmIR3wqoT2nqqcZurJI6ROEfRLA4AElVIrYM8atM0Nv1X
mhOB2paV8L836DyAGPYo5rYdOt43a9LRg2szYt9qy6URlnjAbrdmZMxOc7HAq1GPxXIXOlaZHYMq
QXgVEZz1ldYfam6njYN+VzY6fs1a2H+IOuLu04pnHHe9TnNCtgZMHSgn84eic1N+r9KVzw2LUG36
ObXpyDeBekKz2wGEtPr8Cb1yn4AAripv2zkqHS/JnR2vrZItG9XgEBy9uRutDf3l4pOfeEOx7QKR
XKMUjNwNnHWn2uRZwK9oqpXtCvoxqfeoE5biCJtqfvD8AoG006juMQxEQ0OO6LQYp4hents0qN+J
OhzKHScZuRcTrS5yUBhQPqFO7ayNZN6AwJDX3dSMPFr0A0t0Bb5DlkQXsag3hT1V7FprhMWCzyHf
uDTygYT+SLkA+k3ihfAspYHaTKzGZWI6iIAnZD9pmhqMpHRTKBdugQEyFGh8d30icW9DV22YEvj5
6JCSPtOsCfIm2otU5uk2n9YACrf0enAuOB9fpGijz6HQhd6LUqfgwIy09T6GEYHnu8I6seF+RZh9
urjFVjEtR7/P/qB3XLbnBEe9UoYHyMlrbmarKiQj2HA8AGwhc8RK6C1uUoEYauuCuqivbNFPT4lI
qpvSzmm0cK1jdtHQjCVnYimZ8E9JnMxYLyqwu3O/jN9UayMs82KEySNvK0GS0JinksVjH4WZWeep
PSzjvney8jTXY19Bpc697wSs9CVvKqSrTZkGlrCED1RTUsiq3TFrY4kDpI1t/C8rjog9Kinv5ppk
uQ0q6SHbjTHjpmMb0AvfJJWPAHJGyonZIMCXvfHRith7lJPeW+1NaXJmAVudttzepqd2qC1+XGdw
OmKth+GqiEYRH8CWwMZpaBjCFSvFs9Mx/EXTgxBxNy19CtLZYgC0nTNEeVszJAsem7BpbhEku7hQ
eiv/VjG3eRVdWV3OsYjNtkWgaG3YVNAI1l49PY5mHt9/uFCJD8HuPPOd7EowiS7nkZIvloGFtgE5
kU77qqz867AP0dhbmUQTYYIc5Y4Z0NvzbShEIKnPSihGC2tInTXkI1dwzVsa7IqpZxnFVrQlKXgk
m3shyHsfzvPAxMXB2bGZ5wyJtRCxp07IWVa1sEgM9A7i2a6jrCuv3ZZu6NYPcLkQfKK9+8SHy70h
YZz5bdyrRh/bRcwYfGIIsJetw4TX99BcH/oyJXG7Llb/jpla9a2PJsdsWvLEGASZjNmQ6cIpPdqB
ZhxThRMHnLGxv+4Uu+ijXbJaDx75m1CwioE+p/R6wlomev25sBHj1GwSxa63EHzu6DnwFUFK4s/W
Vpc8j3bdR1tH9QG2Zuk1QE1HLinbvJPZg+1k+bs9ZaEDdGbtDpPtqonc0+l876YNqpJRBrO7ow/b
Y4X0l+o2rTvvE0uexDoXyna+aZuyi3F6L/rZAZ7f7SaavPl2tsOGjqZP9vlegWF6TbLZe58CW0Dc
7boMVY2rESKWS+7NF0NtgCV0jSa9uIvxfpwzxpfzhlOy+sxsCelWVignPAHh1fa2rky3PM5GRI/s
RaXcTn7a9MDfl+ib6iz5lZaBwI9LPZ5vHBDoGQqkSF5TO6TBVjvG+jI5YX7Hsg88WBKjwZoHYZE1
UHVzjTFOABeI8B7xz8s+ucdECOaWhALNwJFewiNhmsE7baDle4psKtgszMjsI+bFjqcuzXwAUE1v
7lyOPoFxPiAySdWI308dkYPvTTxH7sHxOSmBHquSAZGbqG8hoRf+VhV9fOP0ZVwcBknc+dZI19hE
vE7+p65skB33rWTyWvKOmchYxv2kNCXyljQs6zRMjap3HH3hNdJTZROWnnbZgXRc6whUoDq6ydCJ
A1eL6St4LV/e5WQRrJyfEFulVF3gb2zPZTt3RaIbJqHEJfH2gonzgJENh1GBGR6vLWqFH+7PFN0y
clYst9ifemInz0nhlRMnBsUaELExIJG+WunPxhqdT76WGMUazy6/4BbPDOJCxdflNnn5tPxgFjQ/
+AWtZYmY7aCt1D6BcALjgLYWJBerUxifLZO3b/ytctpH2vXTnWfBH+JsUnZ50NqO+JMM8r5MwskB
shrpiXOr7kesdnicnBB4prG750XPfEVxVZnj6Cf9WzsG8yOJLJDX9OgWekv5F6krhlvVCF9kxVNA
EwdVMXsYQc6Rh6XfuoZx5Va7i/USJcBCFqnqeTuI2LW2mWcbBzQX8yBYfPa4N9Aywy2ejuYCBqD/
Paq5VJ1sM1brSDkrmdDmhgtd6eXLZ9Kp5OXke81t3QTk7jXNpEn+ylYQQzKIqEYDCj0Q4VjMcAVx
RbM3vO3XpDaRc9HhNbvIrZwUyalk+8aEHTTY2WuQLZqJyw2X9nHrRMY5jVUS4RCUlfMJpmXOdE0H
6ecMFc5d7bOB0SkZrK+LMTb0RjGEb4s9J9QUJpdPSBlrvTPdNEByZB7EoYTt5A7WfUUaKj//hT+o
5NFUVMybuV30BcC2lTDULGbPDC8PGSF6hIyiX9DOFpKbfzZkuXpIceu9x53o7hNGlnfLEttYAoYS
N++IddRH7M7vQ7TI55ish/NqsLt3gOQlbt4xA59URAIFH/5cIPHaw0qOGiR5RGmJ8gmPPayIxQZ0
ghMR9agayEOefOVf8RnS136e3OdgEkhMgXAsztF3jJiPcxTWD3NL4ukOjH17G0NkQg/OimTt51G1
M0sTij1ndn/hmsZ7HfM0eqfrVL85fguilayTkt0yFnWx04lvztK2YZY4lVN3N7DRkZOVNMmrF0+E
OUKUS+8XCgxA82XKke+J+REpveI/ZbPTUWvWIPy6scMOkVJyqOvRsQazDi5n2gGtBX2tGxr+Kw0F
SDsW4G5ATyX2s8jFEkveiC43JQipmWFkxH2Eaiy4M0S3phs6t8BzVN6jpejhzMNX8xni7Uny8wPg
PANkmzrXJRteBOyd/79ov6TFSPBMx//zDaGpvDCQNd7Rdc3RDkRiBrFmxCO886oE3lY71jko6MjR
DzVHYMHGI823sp6L514Y7ha+Fwb8CWzdR64/8KkEze77zgv7clv2SHC2VY5mAud9RLwA6A7rPk0H
Mo5kkDU3ygyWuwuRCBR72vBZvVeE40AHiGsqp9QYF1faoqeHILXze1cm03trnPBKwjeCxNq1w1OJ
BQxLXFKV932O8Jdst4j43jp3gmSbijA8BwrCyrIETZ8NF845oQBjlxU91M1tP6QUOzaV5lchnKS9
LK2geO7aMnA4WU35xS4WpJyl1sGbnCGhHV2p+EVrXcuXxbJNdkwocwJwGoVNcdh7ZbAXlodcp20m
b0XktpK2npc9GSXZBFNYc8FJJFAJD6zu6nrwSJY4W01S7q5Mo/k4AVYtNk0m9EPB03xOpUYUqHB8
3q6mBlC70ZuLBwyHfK+N6QcCFMMuPUw54VTbJk39K+6tyVfta7y6xsGSkYPgh/nktg0p4oB8OWZF
wSK302ENuRbFK6LVleGZBiQvL2mZfUPm5CPG8IIio1bX+EUTXQAQLd1CTec6kxlkVlUDMsfx3HL2
24E6lT5gZBg88XCXEwOU7XN7rUQthjGvOY8jAvnKn7/wl5c3mRHFtwmSBSvDaKEh3GaNMMUxqLN8
lRqIUN2kwuZKyqkJ4WEoe8BZSemnj03IHXSHVVB/rVs35Y4OER0flccFmFqhTOUBt0iXHEZMoMF2
sbrgHOfHOBBd20KgTEpdUZnmaLVPmQiwXCk3yt5ENwXfmMN2egueJL/zW8vn1jdV8iU0jghPrdsi
XjJLAgnZG/34fCajKULtvfJTqh9qF1GMZX6uEuEBLG760N9PYlKflGmmC7QdSH9w8va2PnRtn4Em
q5dZYsCaUlxauy4DFUDDIUNlRz5t+BKkcfico4z6LHVd3AOVX/ItjXHuSXmPnRqUa7nCMdGMfhud
HxpjjZ0D12jlh8B2Kf030ool9XNWyXNNfCfNF6Sd86aOLMJyazzIF3QuRrPPwSDc45ER91GXusih
jOHalRDb8NkHbP8OJytkCxGj8ywTn3p0wgsMICH19F6RWqC2iOYG+HKuXb9XS+p+j+OWTlE3LMAK
C38ebnLbHu1Nz61s2XnLIq67BnjFppRuf3S4Y00I01oyMxQtHVDIlNmcWq0R1Y4Q0DLDBYngE+ra
YoExNDHWTLgHCEBS4ahnpPXK2i2M4BB/0LuaD5p4XRoLnNnYfscfFaQbC+ykYioakIUL4pdh1A4e
dd9E34hOwMcwdoHzMmvjYCRPh+yL1wCy4Voik3pXuUkKstonJkHm+ScgvbhCJq5GmBpqBdFygIfr
LQfVItzcxfE40rIhOFxDbtOkeCLHS3DO9MlwYVc1mlEuUvprUIv4TXrZcscDTTYpl0H/dRGhlptg
0NGLrCmB6D2hM4ffNcffLaZ3z1KtlW6Xyvga6S/wE6zigtO7DO1dRFuL4r8bOd1gzdg7pEXInTSP
2drf4dofelb1BD9ofJlEjWjTJe9e8W2Sm8zu2C1nTVLjeKY+uSVHhy5H4jEn20Dykddox3L0d/Yk
48PQVF1zwLkD+4+TQhW7mbP40u0GKMBbJ2GeBDC39L33H032f2vdf9K6rxOhn0YPu7fu7Y//ev1W
vv/Xfx7ev73rt+I/ELt2H3URv//bP2QOLjIHpAphwCicDjOT6H/IHEgfDleZgsNwD/2DZDryPzIH
2/vNozltR5LWdOQEAf3w/5U5IKNnsgIvj5mjFzLP/1fSh91VTfHz0MS1UN6jnXeZXjC6Ronx69DE
nfUSmpKGBnvTGiaOxdL5Og1OllwgtRnbb00FOwzjbnBss/YyDr3jAlsVce8FDmxcmh4mzWAm/bt4
0cF4sFzrzFLhRdlOB2yg90vWXeoq3Y8pF4q8/aqnGj9xiAg5b95NmJ2XcQJhrrwbYRXQe662nq13
nLkHOH56F+MBayDJWNH4gkDtiMPmicb4cRzC27xYLjs1wL0GAM1N/rZvvDtarHsN4wKQ87FCSb2J
tODw0UflpIey8KmpUusdS+wDucunKpydTdVbx86JXkbSV+fMPnfm5l327gMipevOy0idpMQK0tOK
dXdiwkeK6Qwr2SGr4vPgv9k7j+TIsTRbb6U3gDRoYfasBxCuqOkUwZjAKCIAXGgtdtPW47eK2tj7
wKzqYnhGk1ZvXJO0zMggrwMOXPH/53xnrZW3prUttOqJhkyOOTs8cGcOlHE2848RdoV5p6ZWoEjs
GfqHrMNnI1G/05YGehE59x2EKuT7MKt2ueDPHP2yiVbduZZujLm/L4AKh81Y+j2UIJ1ttISIgzg3
Pf6ucXg39QPrtq/bbDDITUoTOahhgctJvykk8Ezjz3m+X0Tvs7B7UgvTAC4rsyzr0HywdHRfXbxf
PaicxP1yebZXGTqVsX4o93pt3ETiW0vYlFYtew42CE+FqyuHIutpXt5W8ug142OUTJvEKLcNX6d1
yZrktpGFUJEi7gytY7iwHMi2WpA27IW41h48oGhW1bO2rVTckIPEUfepGQ9M6kHeXvXzG5FUnjze
9vEDLZU5/QmUYANFZGNp37F6s8k/SNmtGnt15+wWqd2m7ArMDgyuJAKTCgSSD8dD4npUrRyCvXgK
lWgbphlbJescs+DFEFG8EeHkWUa8AV13xQZnhy9hb1nmYxpX19Fi3M7JuEvQ/SiJ8BOHb7ALH8II
+HJXXLYhGN2o2yqasZ1krN5DZWyU1t7zRu2zZNgknNbsrNm2UA9MPJc9rJoqDbeJile4FBRN8o4v
TqaiEV8kgFIoYPOQgtMZHQSzhnpfqXjkMHx6i4lmMdImbwb1VKhZMM/aW2KLTWxEKoD6JlAwhuX6
ssOfv0XzV7t1CNWFjuc2A+OWaRpE53arAxHMhwga4Rh/qxP1gv3XLlSghGRltYtZyrY06y3aObGP
x/QBh8W3aOwfNRQ7fpdReWUGuIWPaUMqcoLIrs9mudoaIuTtSx7nWrX2k9PvcRq/1nHL4w3nZjbz
Z2ogIugaNpgC/hmJYEgzOKof7W5+LQ3Js7PkyKRjebI0Pix5nSETtESZAljuewMSvh5ajw77uCUY
jdRWVpCZ2n2XEt0e8FyPOxvN/RYl7qszdC3RDGO1sRsn2xeVOpCfZL5WIe4cjoDiEgbmW7Gkd9Oo
Zl5ec6TvW0jLek/ImFQnmzSjqqxKgipMMySbcOyGW1Etd3D+EI6mGN7YpnBuXtDrxw/MPPhqVQCD
2g7+hW843zTjpnxIGwzjqUXxml2UuXiWmtDNnHn1DRTfZQcHOu2YRNug5QIbPbtWx2HTghL1C0f5
mQ6dIPVc2w8J+CgrbH38IujPwl00EZMzShejapBUEOGg62TKflKgL86xkZQzEkEo5wv9DPiKB2IW
ZEACZV+J2ydLLS9Sc7xIOmMnWgk0Bk7mYvnpYGjhqLja8GvT1wxrQ2baW9GC7zIcuLvGvh+KazOJ
TAqtxXGUk505ans7b+4kO9wCK3jMOmczRtQqIGJQX90pnF86M71sLRjvQ9N4uQQ/w6aEGPf6dqAd
v8wLNGHFfhVzd65E+RmFxxfSum4AlV5EBMBPBFDo4BVB/D4ZCnEETqaZgRnFV9KamUsJyAnylB6t
MVAvDZxUdi6KxgBT2GTS0bLyC2Op9D/b8P/eAX3YASnQIj/dAgVt9bf/S6BM+R9HYoV+SZj++8/+
fQuk2n/Y7Hx02yR6VDbY7/5zC6T8gSL6PTAYfRqBsh92QNYftqM4/BT7HENRLD7MP3ZAqvIHDkF2
R7iGkV2taqX//D+/aGPak//+qL5UT3dAhow4xzZNG5TFqgaQV9nFBwVHRp10CB3yDQXt2rV4M5vP
iYRkZisvYmw2CRFklVsneqoSixAt5ynWDAMAY5pXXizKggXRjHqxnUnajDzGijgCQHy6Q5IYX5Ud
Fip8X4N+pccKRCpD5pUKqjrNV91j3MFgcSZIzmM+d5hIMrXkqF8W8xZKRZN/s0VRPa+UIuGqjqaN
QaLH5X4O5QRKviXpNy0MrIjsjzZ6ocxZGG5RQRv0tGaQikCVl/axo7o5nVlLPd63coTRy5bwa6AU
sLR501PRepasmBMT+82S4Ey4uLQk00mCwFVi0NkxTw/iilE4tc8YhCBNjI2gTowzPk4v8OA10ZZQ
OVk9qssC+8uloKaIO5qrmHLirrEuC2dJna1lhE73fVpPJbzVIt9IKzao9wuKp0ruqVjKGkIoJmox
QpbnxrfHNH5S01g/5iO/0U1mctYAOmgQITplAp2Sp8ZxKRy66IpSkhDaCwRltKGMiK1Yp1H/hDXW
uaFBfg0RTOVRtpfsG6YweeH3ZM4TpPzsZZkt7NRuQzpEYMzNTIBcwU3ViRjU/fUbhDZN4Yh6oKAW
Sk+316/1tg1vuy5cfsxDitfHTNXnJg5JL0RKGXM2g3st0/IfsJd1NQRTLzat4Tt6mkjzzUQHo23L
rd3dJXDT9mw+S3EVWZn6lqlSSFlLR+ARJJ1aOX7dmcCYHCyWGfi3yu4us8EAra/Uo86OJ26Hp1it
KDao/ZhyrFeL5AZWE8U3MAk1Fh2pkx66Be8dpZ6Bcvc4RvYlkLIZEwoLBAaowirO1Gyw6GTUIf7s
ou7GW8G5mIg2MMffQ7Fq+vWq4yZEdJqpUUOgQnIfVuXCtkilIRaH2NjdClfbjSbE2hK2S3v1dgtB
942zFDiWyoHZAcbEEZu2SGR5g1omQyoAfpmcHhoa21Dv6ZuChaXFEVmKAIttUShDMLF2xmoTYQcg
qV52YLWuMuJoSvXOp7Jjl75kJ8aTqRey2Ap15LDM3h2QoFcOcRXtMUeBesNX1S/etIxjEtBVHX6O
fV8S67I0yqMhLH4LRzoD+QSh9IGAREYthkTZ5wrpEgndVcHzhZq1uy4tSnEufB/1QpLXvMvxPfty
ec/BtKjlmqR5tvZl6NS4L6L31EyiL/W3aO7LtSlTKEer1tKj3cqV362hm917/ib+E+uhfk/lpPU3
Qp4vu/alX2M7Ce2qB9DktvnoUCDqA6y3ZHx2cwpKX89pafuGWSQvdSuTCAr3Gn/QnKxJoQ6vAY2b
NUBUqavusNhALd0Px+DrP7V2HyfTv+i4mOWxo3Lmxd9NL2A9bH6YSoXK5ntuGLIZ6EVjvspzpLjz
D7yNPlWWzwc71W/JjmGq6NJYIkA2WM7JvK1lVYpmSydtM6YmqejpD2Epnc/WcfhCnvZXVfvJUOt1
f7guJ6RJuRhh4iVUeciytDBmxZmWBwTwUOTNkKa8rR6wTWdBo2r6OPHGyCIYIIav8CDQ9QafX/tf
ZHnrBzINLtxhReWu//qB4oWCOIY2inFz3e8tOcs9yqzFF4LD33ydLLTqmuDHl/pu5v942RSWKeu2
2doPoPM9zXHNJFR20jU7Sf2KLMp6n7dz98W1rVyBjyUJ1JTrXgEcw7uoEuH+rxfXATx2WFdbFx+y
V7poT4LHxX29v4zd69Z/Hl2K0a744jv+zbX+MuipBNESrV1kDGob3/pwlyAjqDgdGCTgSKr9xWCn
j+7pFa5f74fnCb9a1MUTgxGF2rhDmOW0NfrDgPv7izfyNDDxLzdz/SgfhsrbAjXIejPrgAKwR8Cw
hwfOs33Tf94+tf49cJcvHpu/+A5OL+/kzaS6n4Fsev8CY49ulEdehVt4BLR+NdL6rXyU/J6OdPJi
2oqWzaSkrFcHft8jisd9oBR7xWnrngiB/edvnfLVcCfFMk0rMjVbh5u9F3L+tqScB+0mvgRi6Gbb
L7+79UH/7OrWF+XDdwcvqUAYy3Cj98Lb4L4W7uGnd3z4/KrWD/2/j2LKJzpY3RDkGa2jLBt2Fx6u
Pq/wvvymPr8WUz4REuPGVHQa0K17UQcvqXf3w9g+Pxy1Lx73r65l/RQf7tiUoViqEEq4+k24rWu3
eBBucQi/mqHWW/LZLTuZLJyGCgEYLJrJO2RAXutF7qt1YR2+Mg+oXw10MlFgdY1DoNwUG7aWS/yv
C9nxsuY9UvzSMwKiVtyzxj2QNOTOj58/Fn/xM/36bnF2+/VezmqREoDA2ISbbzAf+3e5t7g/QpeO
uVtuVDf+6rZ+PgebpyexqJsSk3NB62pM/Yar83YNOxZdL3SpvAUkavu2Z3tfLabK+ux99nWezCIY
unowvIxb+d8fCj/xCvftcP38xf1cZ73PRjmZPCiNwPqo16s7qof2obysD9pLeD3kLk2m6nm+Kw7J
lXZt3H0x7ufLqSmfzCLClkArtYw7+AQIXZUXoU91xzW8e3ri/k+4YjxFsvvzq+nri3HfV4kP72IG
z2+QU8btNoT5eGNQbrUL1f/yqfndOIpGF0PFakKl4eT62tTOC3ldTHEMBwCwPc13GFH3nLPco+l6
014X3rBFtHXu7L+4t7+b1T6MbZzMnQnEsMwY12v0wf88ZBs63xvSezbtXt393cz478LTx8KTSlfs
w5fwl97btkz+9l/tR2MxW9T1R/7RcjP+oLhPrKjtWKt7eN1d/iPEWvsDjKJJO05WNQy3OIT/2XJT
/9Ac0JWybJjYh+iG/bPgpDh/kG6NaVGmJqXQG/yXnMUKB5RfZwIdc5ZscdDDV6PgHVwDsz+uUooe
27OdRsSbWsScuemEj2A/Ej1woF42hpdT0U/OFoU2TRZz9R8EIRaHn4k5iFU1psRvcpg2VN0NuLln
k0O916eujZM/NVEhUBlX0PXhAVjymySjCnITTfaw7HARDM4hnNgKTmYN/UgOt30lanA7EHYDtUfX
LmcQEO0Q8ZfhVC1S5ulN9BD0s6yv7ufWng/6ItofS6fLr0JSk5VdXgT2pNE9qGV0PopBH0OdzG5r
2F0HAUQuj8SHD/5kRNgMOuwRroPoTzp0mjS+UFuJKabZtIaCAZkRVfGpAn+CXr0iKM3krnhZokqB
aeJcRizpWN/MvrOd19AMaeTrYzU2gQmYst0MlBQhU6CNaW8lADHNhchH5EyjudBCsVBxxauPp23e
FjGMZNeG2vyYy0aSkTeMDMB3amGe1X0FjBgqHTJwBRYgTEJqG1ZG4M1jIa2kwXxVZMuJgY54oSaA
g7bNqaqREECasC6p/F+ICfAp3qXcwhyhuc86CBrRVCrr2jtREIW3dBYhG2/WFscqgM5rw7xO05q/
IqGiKo6QtMct5A/JjeWhvEEuuFEyY29WiUk2bM/ukyhsxJSpfBEbqE/rSbXa51p0900L0KGf5Qb8
j1bb8OsJhy7hIvlFNimeNaKDJfkEWKZUvQJm4SFU5/Y8ycTPeIn3ud7d4EOyUzT3ZEs16Ojk7rKq
+VRvWF+0NWW4undE82blokvXlCeCcrQc+ZuHMt8hq47ojHOapfUaaViGRVDlIRx9RG3ZbVziT+A+
pePdAI3SoGIUtYc6dV4l7my0AVKmkvAKq/uYkQH5MmHlSLxOq0W4H6FplKnmlSR2NwMpyYv5Fhcz
LqJC0K3BAROZC5LFpN70RnzWdNZ5xqaQlBm92Od9dtdmcoV4I9a9yvzZtOKWOA1xNir2TxxXEHwJ
kahVANx1t2nrOSKoTPbHXr6D2nTWyuHzZNtBJhlbqBT0W+vShxeVBXJI+7VPnNW1UvP0tPE5gYU3
5Eymm0RZY+YXDVnxpiBs6KzuVPnChliV+5ZiX079cKaZ2gPur6tMGi944i3B4XO0wcfqWXJAg2Wj
tCoccW1myzdHaM/kHhFcG+apuJUi83EypyLd6pFW31lAcH8S0Qv5OaMwwkOjmRt11p7yGKUMGjQC
xGikl2+RyId0P3V1QjCoioGMLEE9vaR2CQSL9snYkEqZwMK288Wv8lraR9Fk0n4eEcrvp1xJArT6
g0OLFho3il3qjS+UxAyyyudIJzCb3lcbpVutdpplTwLEjBZQKJXl5TZyO7IeQzk+jLSkl+5cinXa
cMikZnE562Oqb1E36c5ZWBP+s8/RBKAtqugaUrXOVfIDl7HqNmOoqJVXLXGkeU6Tp4jTI/aqIzad
Q2c15qVWtzaMPvRYxC6DBl112StekjJcWj2/hxGUOSS7ubaHKeiB1KV8cfUKDa6gnLQZL/+fkQSt
VfGnempk2kZ2ZmaVaGQVcqOuZW4pkxCvQ2SMa2fPtgEuldGkRHvL6XQdO1cytILAPyepyZVEj+fr
OmlF6Grh4dlZlvYgzAVzXwrJpr7S+rmFq6eNpGj9ib6TBdZBGhRI3x/HqFKxS/dapUKMjbtu2zYO
5B/Hsyo738hSRKJiVVxk1Sx7nVSYW4CFUWDWff9EYuiVIuePYZxdV2MJ47wxyMsdr2K1A9uyGKsi
MOHQbk6vJi7lm7pfJJgueu03Zo07QVZIFJ0HmKGlQWhduGwmMxXf5VojCC8po01eEOOZNep1FRI7
F6PDTDIKoQ5eyn3alQvJJQ6pS4mKD0c2gdGX02USN/0WrJ1KqCBZUY1OEiRrgHEF+4+qctOBQAsN
G1gcShQjzQlQ77Pigkc33GYJ0TRhqgvEHct0riQGYPjQuVFiJLGTjkWKBHegPmH+rQCDGrSmlhyS
3B4Dta76LQq58XwZ52lra7m67Y35WYz1Q11gG0PBddkqaP7rWa4PYzTKx5RCLaL/2M/U6r4oM/lA
oO+yg3JCXDE/6PVhBHjVmEzXlDuWO4tVJOYRX3UBP4GvnskajvOaj4L0VdO+g9+PfCY5TnYLwWog
yfN7B7ce0Qdcemg29FvVpthmEO1uKjIONvayzMGCHGGJpdeINYHurglODxPSZayr39ueTHoDPcNZ
A+aSBoRmXCJuHM/IgevdrAqhciem8CwTpxVlPwFmMknaY4bp77ofdPWVZFTxEFlDCYQMymQTwJTS
b1k+jV2cqxP6DjTSShWZI/GErXjC+AzZ0FLkZqOQUrh4iz1ou4b+zjc7AcbjyhMmWF7lpdv073rs
0FTVJ0AUUMLftdpjVICbs4mDOSpIgB60Kc2/NUMje2HV5E+yMdD9sqcJVq0laTesHPVEbHVX/+AZ
ysYDIMhu35dy/6AVYnwbunq2UA6s0nLMGQ6PrBLdxMqiXFPGLXrMBGVItxhNOjQ+ufXmZfmBY0C+
thczOyCFJJl1mqULkx2XjYe3qo6pqWlpQAcPIUURKbDlZNoOATpRsl9bJqucQ5QaViYxiKb0oDXT
mzmr6XVsTmF/L9VNqWqwVwgVCIaY9CI8QaMVzJ26unAg5Kkr/GuVZIs4OYZMvBDy+s6TWdf3tQYj
kNT4XL7FNqm8zEafbVjsVJDnOEk8dMz5fVdAZPFbbe6OMLbz524wKw2MaBPVuxr4tJs06dx7Vm0r
TwDxQMJHUUaKl4O71Qrz5rIrZRW84VSlN5PW1C8ycx39onLuBJ9zmLsNgRHyzZCkhExmhpz7szUZ
V12ZjCTH64vaEJjTyi+pNSTZHnhZGBK3q8YNOw/JwalSDuzJQQmv2F6an9HbaMtsmHAXdpg1shJy
YwZ27wBLG8x4NDAt481NaPoBSwQfouJ2zLTV+WjlyU2mLgQRxN8WDoXeoPeHbMh26Fu5Z0skT3st
7WCgyyzZelFVvmQ4JMQT/xWznZJJDsZ880KWpEkoOBth3qtZ+GxwAhawy95ABerqGvZGLEds2rbI
ScaNRLYqrD6OHrwzeE3TTSlrqzFxpUfbZctWpmzWDZ1tWg3ZPiNZYwcKGjbCJ0QKOqs8jMHiun1H
WM9ovMZ2AtaN7QJhF0IOpNOa27Gth09ZGzWvdlV1kkn+Ae6fAXxBPyyeAzpx8qR3Lrf9zuhOlco5
j5HniQciTCzI+gu+gKOwRTJvzNJpcK+gs4EUPsLyntEr0xvKeye0im0IFz+FvzbfpwaNG0R3efkG
HKbyamKfoC3rbo7/7bHHH1C6tVV33bX0jkkH0VSlO0ctc8wIKHYekQv21abOW+mNLGduxlzkC8K2
MJbLTR0DlvTrwhnfyGh6MHBB7Jl79avaWcxr2Niq/apD84rPwI/1jzoWu21LUuCzbdRmvUkZLcTB
BCs/Zq15Uld+PnQ3gsY0EPt9CFiMl5lc3UOl92kc6HYa4vamVRWulni7v0gUrI34MeY8u1pzfRy/
bHLpnAQ95U0rk9JrEunHKGzSfSpCCfEZIgoCltgULyNX+VYREvM9dfLw1qkd24/mybyoZnrQRRH2
i187w3oL69dEcsZLZ5IHf2jzcp8onExyY7I2OLqwxuTOS69P/RaYqHFAC8XbSS/N16aqKvl0NE/d
qpsxZIEsuyLuQ9+xmI8HvPf2Rk2V8xrbPopfbg84vRQHcqIH0pTgKascCAqouIe7Qjfs13zMu1uO
uoY/V2D5tIneLEuXeUbslrqDMQpCNXdYgvBhnAmR5+eaQS6Na+l6d7R1kIxSXRWKp2u8jS0T9x3i
yMpP69GGyAeFMchw2BoYbVpkzJxVUBhq4cXioDoEj4mNNy3lMxiPbEpnq905+kxaA5FeQEwHaeGK
sbywKORX6WTnhDmYEb7bDkgBr/l40HGyBrOjkDpPy9F7DwIoq3w6alzOHR1I7JB9TudvkHTrfCZt
EyS6mIDk1vndImQiuWLkYju+S3lntPYDqlrozOQj+G2Mvki1V9FqCJFAzeB1tMqyV/iEKBUka8uq
Q6YSeof0Rkryal9HhEETDs+MjTTPs0QnnVsFUHHhmPAtSUwI8LDL25pIWsRPOY9lrqj5HWTG8sGJ
9GwvDw7NHaNqypdepMutZiTkKRUGu0k2HT54PO1K6qMe0rAhXdqD1KEtLLKgCcnjIz6+wLJTOa+J
pdq+JRZtnxpD/dS3M9sTUpqCdpXJ96OFg12PBTNTRxM/tpRya1VkfY4q636elIQtGHBWMwyc6Q8O
0zZRWV3fbg29YxYYTW1bcsN2eZ0s2yFxxi1nbIHMjyAF4tTIl2ydM5KaNdw0bX1oYDzsUyWqzwBQ
JxvHCoF2jlmBDb2GuamOmLNjublHztytcb3fG/LYg7xAf0jUASGUbFiCLpmNYMrDWvMXwMk7FPP9
C0WPmcivkETUSUwEkDd6S55DaPoFEfO3UheXsW8rhH4pcX8bA8+6IoeZZGq5NjB+5k75YiMvCPR2
mbbSyqNHgtfs6BKbu84p8iPGHe2BEri9h2I6vCq9WmwB00ZB4sgqF4EPFJOufCeMCGepnpyP1F0u
ZMUQOxWmsdCV+L7tyO7iKCDxvYu7hsAQaYyJS9NaK+hVm9hBvjPPKph2WGWPVR+qsVvrZhG5EDui
63EMDUJo5XHPOxV5mEsIBqxGc9XBPeKVRmrtwEyOu5hsWyR2eyUhcFRXqn4D52ZT6p2260hreSzT
nt+sG1SN5JozqTE6FZrbut6P5Wq3zftLfhxnn1Z4uVE696WSbPNG0rbKZHybcjJ+MqyKtzoCnNtW
Xh4kBzkgHyzcmSngTqWJyZplEmmj6XkR8aMkS9Z+RY16ujpU+6yOvxkKoQ6kE3R7UKGvY9OfZREy
4tao1MDop9LNx3Rxlx7YeNRaL2yUfxgNxuRpxmusVzEecX1bCLm+Ib8s82WhkzATVZibY1u64vCh
XbezMV5XapFdTDIS7waUUiBblLrkbLjnPE28GecA7EEUEuaXVCaQ07TiyM9GVmMoCL0nBnFu43zy
lxFlM1ER6lSZ57M9ajvitZ7a2dkscYtSZxijbda0E9HPRu5KdRSD9WmuTVXMnqWEG0PU3NfYrq9M
Klees6a8jrJ9XlYTEUWagqjTNqXzQW2wYjmIreS4yq66itlBKfqbcirnq1bLTJSdLfINp9itSXu+
pExP5Ed/T0f0qOD8xCPyVS1gQbPu4R9nO4yW35CyjOBlzNib0Z2dEU98Mcj5xrQHlZds5K9LsbSt
OmxlzlIcS7XRNjYVRGKRLPO6JVAwXh3bi5iul0rZrMhRPJBw5CM9PUtSrXO7KP9ewXx+yKL5KoEO
Bte5Qsmlzq9KOw2Q+7DsStGAFHnOKXWX9jdhzJQzkgG+OsI41LPWhYwzMugVsBGgheRLBcIK/qjo
rB0RiTYlEl5iRq+XunxKjPoumzVtW1TWwZbhUFtCIEJes77YMlymDr4YQ9uXsSR8oXK/8Y5hpZ3G
DeqejcVWz8XMD89WTh5NHYeBmrS3xQDqihRPbHRMMV5ft6ZblaCYxzy6SSF/ctaN0PLYKgLSvt9W
87r6JdUD2S5R0BXh+WDMGxzgDQSRegsB48opE1rLU/uEbBrkylx/S2BcMbG2N+akK15FttYDMVTZ
LsK7ynI+6JtwHtMnIu7fIrW6TBGC7QwYFj7RzIcmT277qnhOFr7yWT7Tm55KXI98PyoEkmxTCIyH
U/aEcRtfMjEf2IM3plWRxFpgJWuTbkNdiBw/MdJdcco7quJXbOFmRAVQmlIUSRvIPntAID8kbAFu
NcDk7mediJAWGG2FRc7Tspj8GWAvQxIfisY+yDm5oqitgDXiO3BHFNgkPg3k+SaivgJowmkP8zaL
OYZFD6Nw5xlqSK5oL/g7UXMfRjrrmHM+lU0b9PHU+2E035JEgtxsCe9kucD2kV3K7Br2kiQ1HJGX
hRusfmOW/k7oTg/Oo7urQ+adknnXHSJuRyjFkGyKqfE6pFN+HZX7Wm6JlQ0fydW9F+0EyiApp8Ac
43s9KUhpbthjy8p8A3FcQzNZHsy+VLfsdsUVqcaBmi57CnZns5qdR1N5jEttE8Xa2UCBmSA9lneo
4Fm2BFre74Vd7p2aqFMnPc8stnMAb7EhwO0Aq9LiuR18AsK3JLilARzkxK0yy42r5VUBa9k23V6f
ccx1WEF0irhFaVzjTCc5PUopJxj21ahDQwixxBWc24iv3KDyarywCX+GTHdemNn7MKlhjFWQEWpO
KLjYkPjzAM14IaLkbCmtnyTnht4Si3yfoQ+siwZM1YoShl+gdgjygAarcnQwqOXElfCLtNlXg3GG
eQl/s5r/XMrm0E3yNbD0S/zP31PgABdkksYbKq5MEy3VLIVdFSwlKleRhY5bu6R21QZKkX+HObfr
8x9zNvp2Pu3qYXkiOuJ7TmKmZkxny6Rt+Dl731TDURM2O/A2uy8s51zue8+Zl4sx7J/iAnY3zPlG
r3Y4wglLtCVeUIHsL7KTy8o2LwBVxZdRFiPxHlDDheK8F91R0Upqu3GkFHeR1ai7osVOLqnzQ1wn
L2btmH6sxmawWl6P/ag5FHrrttyL95PcjMRV9fXGFPaGY21h71Jtid5myyCJMMFxcSOwUpkbSdGx
t4rCwjUKUpWq3yib6pPtxGujYY6ml5E/BlCD7TO6bdoyJrcoLIgimkJ+vDZbnJmDrYAMcQaqXrad
K0AKgB9eAxgDf1CwWsdnOlN1/Jh0KzRJSnYOjBaX/Ij0gSnTVu8GslVz35yQaLlJTLiOgkEq9ds2
Vx7rmIOEXbIxRzO7TYS++F1M/FOfgF7OQkXc5122IAgcwWXUzMW8+C058zUqIUKzCqAhpW/3lak/
Q8NCy5wQf3gkZxFLCoXkyavyYc0tbgv9FU2wBAzE5K08YvnspguJHsJ+HM1mn4okIaa2s619LnJL
+7P3+u9u6IduqArMn5bz/05Zvnhunov4b//9iwD/7z/1j4aoQrgO8D6Z6CX+gbn4fxqiuv3H6iHU
ZY19K33KVWX/Px5EbIYYAh16qIpN9I76sSEq/wEYBlAoPirUgQYw1xPF/WcK/BPNjkZTVdcBQa+/
B3Lzaf9eFR2fHDsMgDapWch/SJJvNSm6uNSqUL+u02ENd7FjkmaJXgOs9OGGXf8pwPioWT1Vf6zj
G6tswDI5RxrWu4Lug05BU6VUHzuZxEqzvaZnm94pFPP9QW8y/LttbBxT6CHsuNhCQQ4Iw9Bypbat
7+OGypL7+af5zc2gXqXYuL4chXt7IijgKNo16PShytT0YTMWopfRnCV4TRN65zlMLzjJEiUUf4FD
XIVEH8Qpf94EOKwGyix1dav+2pLmwJSxJoAuM2b0RhxcKKhsnYHaxRe3e1UNnQ6E4ZSnStNUgw74
rwPlRSHCngADgjP68J4sVo0zteKEZ1jfe2v7+d383WCrf2TtOSImPSWQdlheY6mDarZwpw8VuKfL
sbAkfzDL8QuZzYm6Z72BCJYYBlScBaR8vcEfniIl1A08BFyXJazwTZArdG931rBNCTDcCUGI0b98
aSZKBHi9MKehy67KlA/jZTp1iX5mBjdLy/YlrPEeXZ4eZIOt/+tfma2rFm5lLg0/8smzkZgr9qAT
KHHZN0bESvV96BpLoeGCLUhM//zCTkRg643EisOFkUMKeeVdi/3hwkgqMDMo1KQkgRrxwnI1EUo1
OCfSGVv1Dd7EQJ0F7fAX0NzfjYvrmiE1ejqQqn+9odC9lEzVLMYdCwBXU5/ol+osQ/4gu/t+LPXy
3B5i6Qtg+m+eUIxPGAqg2Vv8y8nrMFgDon0UC4A0SFQNC97yKq1Lz7I4rHx+Y3/zhCIfofKnQOGG
hX7yhC7a2Fu4oumgtgtphD3gntkk2rVvQih5RSSdfz7e7y7NhimN90vGrn46Xk1mdD3ZQEHLVjf3
qkS7AhYdjnAbvcXnQ60f/WRSsSkAazL3EKXOuo59fBl0EytoNMMXoWiaXYKzXHyh4+r9/xiFdDiD
7APTdE4FbTKCFJxLzCa1yMBLhPh0gSCOX3Dkf3vbwFmvQXQswav3/+O1tEhgGnNmC1dnFI09ROvZ
vNMFPh6fBEX5K2jy754KDHA6hj98yvopl12WF5NDJ/OW1HXHoVtu8rImigDXv2vRUfjii/rdaCT5
2aQ6wE3XV8zCx4urilaYWsXL3cx1dCgSKhMAYq29PE3VGUGx/RcLwG8eDGZk3mY0YYx5GkdAMFk1
ThIpI+MAE8ZdYlkFHVgq4Vf2gd98awyh4STEtKhjTfn1wqaKemAHlYdcSzxUK06o9620tOleEeZ0
/PxB/M1d5CbqoAhXfySYiF8HCyeoo11kU1zl1FH4fJz6tWh0g04Hua7AQgY9/tdnR1ZsnnkcN+wU
9XX2/DArL4Bs8aeDWxVDEnqpBEGO9F8X5zK245BT9jQp4xcrwe/uqcK2cN1kIsxbCRkfx4w7IVVU
Itj2tdlBpVEaZLkGokJXv5Kq/mbXxfL9z5FOBHlmJfc23XIkMOhZUBLQmX9gvsZwjBQHIlzXmfnt
uJBLGwgYv189PL9ZehyLycte9yqsMSc3F+yRncUtyMxuWrrtAsrseiHsyK+N9v+xd167cSvpFn6V
8wIcMLN4y05q5WBZkm8IB5k5k8Uin/581D4YWK2GGt7XB4MZbIyxXc1U4f/X+lZDb2fhNCB1ePr8
JTo6qLtMM3weeF8PBm0LfzQSQRphN3JTEz/PHovJfYzdst3qbmNtxy62T4x5IHxc1vZlIWAGXQ4c
H6W6YsZBb7VlUJQNupq4PPdrlT8B9Uh/VoVVfHMKvV07mt7uzRGo4udX/PEp8xYtbHh22BxdDicD
3a48ZeUAewZPGXcU/Kcgj1vS3sNmuJqFtrDnmu5Kq7sTK+HHWWh5fflyHNZCYDAHWwvw3j4g8bIM
QqKtbpZD/QaKl3nCD/dxVrA89hK4tQgv5R+XX/HHJyq9kvxeYvZI0hzibxGsrHiNB7Uqt3aoqm/9
4EQnJO0fbyjD+KQ2QLYx6eEcTHoxOhW6O+woip5aAxbp0rn1hzmjXJzZJN5ZmJG9MtJlENZh2pyY
Ho6N/rarB7npLTEDB9dLBynBU1IFel3jiwXvTH7U6FRguXwCP40gKcN5XNdKp009Nprx+vnr9HF6
slhT9GXVZCHj8Ph+fLdJErbNTBqmgtLAf79ntQ2NnFSw7V+PhEHdtLhGBuQg/34kzhKmP+esmksH
slyXs8ATSrICObMuJer4xI39+JUikeZYwT4Re+E/8uU/XqQOsmuqegSBrpk3v1hQ1hnZpWsjo5zf
92W1iwqg0/UIMDOdLPvr5xe73Lb3ezlGdx0LEBY6buMwC6AfXDcbOkaPMRlfkCGuU/srzb/+JJdR
KGywEdbJRDqY8flCBL00+pP6qPnE09rXENq0/b+4FEGyE3lLrkmJ+f1z62zbRYK5NEHHub4lti+c
AizPMj4xsR358kGJmzggCM1is32wqyJ12SlGyIp0FdFd+uCY4Y1DF2h9T53T6NT+eotqicXhS9uG
zYfhHbz5HWXAqlkekaahqMulyK+dSALuiZR9+/ktPPYuCtch14vQKmabg0sr0gRSboJy1PPGbq+n
Da0hwy7W5jTme4QH+nlj9c4dCR/gl7z4lG3tyBzDto5biiXVpeZ1MMc4eSbzVmczHiqylOnd+s2t
LXJPoGnz2i+mqTlEK9pJ88VOCMQ7cfHL337wKWA4WCptS54W/KX37w9oBOTilGMCA5XaCw8jcYPS
5GNcDYiOae+HWXYPU8/5FxMOA/umz0Nm2nnzQf4xA/ToAVE8cCiYDIRnGr9wLwUZloY3ZA+fP2BY
YwdXSXGSMBMyTbylBkdb6P1V0uMhy9keHPKLZ0gZDcI2YoaBFA8ov8zG3MWeVWJAMAHZbBPRR/1W
ZHk7o3XzMSY4U2a8eL0gzB4ZZDVvE7MRr+VUTyWE4VEhX0R7vs+j5TRD6Hy7j6ROOJdrdD27c8eh
8zENSR6uPH1EdjwrOa3McJDY7lv6kZuCLQ3UcRk7v7s5TSmkG3XhwRsamitkSx5patJwwM4ix/6F
qJpGKqotJTYp3EtthaScv5bmgfreuEn+U7dK8LUIffSEir4CK1l0HfxZYyABCme/reEfisR4GRcq
8S4MT4+aoDXtzFjU4POudWXurHLNBt2bsV+PNuhj63sjncC8yqmNHia0eBg5uMwffW/T53DHnMSI
efDMeD35bnOu0Q8dwEgZ+Tc7SiGYZWwrisBI6CTpOcKmwPb78nJ2AcvDOGjVhixkzN8aSwDQX3c2
r2KSCGCQt3QXqRb2xjYekCuvVaORcwBXtsnXnT3053rvNMna44gAfYwG6x1tab2HCQZRM1AiB4Pt
D4o2hkf6wA9d1JDWdQOW95YFNuzpOdfkX8L2sPWAgG11l3sSLrk1+Bn2aUSb9XpMqrpajWip7ofJ
9zjg+UN/F+ehpq/MyewvkpqtP3t7i3mkKYzhuskts153uHnVanRQ90PQJ+OGSQTqF3Ld57by+icb
2T22DJqeai3I3IgCKw6Nn6kkEGEtJTq6jXAUkAlEpz3RBapp1Za0YkTmkKWzW+kaqJmTNsZLDvCY
FAZ6QGyOYJZk3Tr2YGGslVGqidTbCZTl7CySxZLyE+yrBm3NKjVn7SWuMngk8DDgSxMUMms04yPX
CsoCj8WqSep52LBnhQpXJTJ5EiEv6VpGha+thZcPA7aQGsuPnTfirmjsuFv1g9Z8C2uK7nTLuvka
grnOrSKqZiAMx3NIoPVD/0vhdwBDLAnxfFvMTUZKFKoxpD74XNbx7I86tpmxaZDeJ0CHu3bqvpD/
LmHouGr4iSy/Idu8ZO85F178hbeB24BgEpVnqqtnwIHIniMBjnvlN8o291lhhQg3Y2kaa+TWbfd9
hOA3/oZ2YNUrx3VGDWl5pRPa7FljvQ7zvs53suwM/bmww+l7V7doa4BexPU1HEwtu68Jwc0IK5i7
Je2b7HK2FfTRVrkRVoS1exg/vhoYdzRSCNwwP28KNakz6dQJXWAziWKkl1Nrr7AbdNMzipHkNqZh
GRNJgpI2kEaRDcHQ6uJphFRkbGxZ0JedXT3HbkW1TQ/0uaUl702OS8u5NL40dYwKltD1Kj6Drm+2
azr8ZnslEHbnzxGQnWxjplVc3falDg56GMPmV6/6wkITM+ecXjQxWK/o5jJofLkTTt965I0hFct4
KnGN4Tci414z/YvENrrvE///eAP7uCxuwjr3h6vSKq0e2pcTAuQOSgdM68PgYkhDBw3XfZ8yA3pB
zjwF87HMkyvVzwp+UMGO82okUqXfJcq2wQYPjf6kTVKGgU/dOAdoD1jvPEKL2e/qaLbHIC97BO5a
1mg3vdNLfwP5RCYrqMkK2/yYYNgZSBfqQQW7KHXaeQKwBxzGQ3/pVsZts5DEY7eT4y4FR9VDr9bi
S1lUVry18HVoF3mMWO0F2F0aX/uja4LSp4dbo1kaPeuMJZLO6dj7xngzhCQlf28Gx7IAAiYukI7C
ptmMbmDQLvt0cgHnsvnEHtQhsdKzoSRc16cKd1cSJ9xduH2WY9pzefbbwTfH3zampvasLCQY6mwK
+44HEnrpPtKN9KdOIkyCg0pHlk46XC1WOcIzzFeeMerIb7Xaww0QOg2k6nrSzpJC+femFQExMuVs
VaumpVcDxVdX8dqpJehdO+wbHcOIKfMLWsIFYhl6Hz6Kq7x48WA/MTekzcDupK/afKcmU/brHrEM
xjWqfOtOcEmrsHP0H16/GK2TYar3bUhczuiEhobfzk9fp86bntxojK5cBGs3vj4UWzP3sxsjF1m2
d4uhGVdlR+o6DbnJnLddhZ0DAUQq+2uvGLt2X6KwIDOsK5VDAWOa9K0yx1qu3KEYjGBySlgltUlI
w9bQyahfzxOzM7LQ1EbTgSpjAkcK83plklA0bXILOtR1ocsCuR/iQ2oWcSK8jWv38/nYySw781Q/
aojqQTQEEOSjnK41WT9BD6eZBVrLrHBTFcT9BW2ukvwp9ypL7Abh1uTRKxHzQwgMYZvT5ODyStTD
EQKQeh5XfK+4Bmn617DCQYg9EN7Uo+EgHIe30Ya8z2ypNyZKNwZb9T6sGMwQCU5ugGj5RTeVobPG
A7iAgR1EyEFL9/Aa5T77jFpvUNdnbsMhASHv/BqmmnGFwAfpSNHz6zYmgL9bg++ivaS9nt90xK6g
U6iSOlvXUcMyJpWe1xvWYTJBpik0iR0Z5vqpSnXzrhAT2wzwxN39SNRQHcwEPCNqJmmImk8UWYTy
2IP1m96HhzEdS1MCSakmMjQUyIIeSKQtd2nvKtIaIFjpiA8bdWfLLs+2Uqv1LJCxmQCZlxz7+dil
usTdCJ2+V2P0O7a9+HuKeKXjzXXxiBCRSlsjj0Rbbpi6nHSLJgaQX0x7c9ixBqd3MzR/SMy96954
Tu2m61ouuKbCqf1vGZ8nTRJsVF9F3LWYRCPZVWu3b5AFphQlSR7r1WXEewUysE6QvBck5t2OuD4u
k9rMnkcUsj96E6Hz2iJ66oW3F6NP4ojyXKGEZ610hiZbsSvJlzdIA/wucLNZO81tquuRGNVrV0Wo
TDimo2ati5H71bfdTxwVerMZhOltZlMSVaC8meDgXOfHBCrL5W9Et+1jWQ8l7rzWPk9MK+zAJOZ9
sRDPpL2Kai36GQP4JxkXXdaEwyPsjFXa6BKMIWoQyOaUeIkdJRe9jRDrrgs2EdOlRabjniidTq5h
7I9jAP4LuKgvS96tOnebL90sLEn24+IH9RcsdzDUHLKv1ezF7LwwY3SrcaBGiS8ja+XeKaKyYRsW
N2zGyhq3AGh0cJdmbJskiUPxSksiu3UZZquu46YHiSRDib2CLHYmwfLA4Ot4YFNGC79e0dnltKIh
REo3+ArZes72jFyZ2m5+P7cz3jhNl+a8QSPNnE27qH3u8NX6SK4RuqzJB8B1JzBMQS/XW91f55IN
A2uGhB3fxjLcQQVP+s0sWlQ4UTzw11Y+Gh6Q9hoBf4TTzSvbmO3f0YhvZDMWoWtcmxZWXfbgiQ5u
H20WHDrDRt8XyRjfhzaRfbjW5pK/XZYWQh8mCKKIPJa+R0x//rxpWjYduIiRjZ0ZU5vaeD17djlV
k2CEcEOpfNh5DVR7v2qR39pCa+CN2sVjNcmcradnzdpFUcYukSViau7DDm0qnlx4WQje8Z0wkYzR
vO07swS7D8TwcmpKuwZvGtfjqnZbT18JW+Va0Bhzv4DVRCPOhZ+IV/Z3fHEyNNmP97pff9Eo4vRB
C931drRQowYggpMHPJ5usxhWut9ZIeGNa4mHIijtO8j6bTeJGKNTPP9Op9Q/LxXc5w0RatZ91sn5
ah7y8etUO/XE7KUVZ2IuIhREPf7zlVv4KRqg0BRb+IquuZdG5F+oKuZHuGiYfgO/q4nWLrNYrZym
0fCzthotX1ZNDgjoiqJ4pfnUHtn3EwO3JMRnv5zClBgrFP6HVeOFU7zqbZW2K5YzhFall2OT0bDf
o/cWHf9PBZ7hC1l3i9VPjhi2s7LBfkQZlVcs5JdvomyK3XXVK+yetTMlZ9XsIn5GgTuNq3HUCA/i
5SeIoK0r7OZMevzdGka4wCSwb3H8DHibWjX4l+NIrkfgRQ4v9IhSuNik2qL/KodB/dA7FJeryIcb
tm1TTCK8T6w4bCTt8cs4F1V1a4nIKc4qP9axipFh+JC6AzaasgQEsPaU4t22otj1OB1042vrYU4f
c58fSCWQk4qkyoqZ3HwzVRVdeJNiKHvUVcnJpZrY5AbsXEnqwh5rSJZuxfVY0cQbXzboCCOtGV9T
fbmPRKHF/aaLdBRrY+zm9iq1Ww467KviOzxQS4xWW/NzykSOr3pk8zdpIjemPZkrerQvU58RrLnH
Cc9q51+2mFG8SxzAXA77XP8SsCb/eheOuOKT3HG9DVvr5TsEnS+3VjGLLXLNOib3yjB+u23R/fi8
7nBQ2VmSuj2XshItTwrmCJneVx2ccETSbHlky2nIW9HFlelwpkdhza0P6xtU1z4HMju6aIksaIPP
B3+rDf9R2fln9KWUa3vUV13zoLLj2iQ0YD4CpVih+pztKVpzGDLZF4uvTQ1xrSEBjHNeFW1y7si6
TMW0I4ip2xBRCVZuctonzeIdOvG7lnLaZ79ruWt/FH5KvXEdqunkloRTE29aAz9FUPil2kD3/J1g
MSR2MdISPSADCel0j7M/K5ny2kJyHmvc/vnzX3RQZP/nRr3B7gx3Uagd/KAGhSMbp5TSd8EhGXow
0cEhqwFtwK5yqxOV74NS1NtolDR5IaijQr5bbs8fl1+PdjlmRlYS2uGIH3YCH5VohmJEZKkc9SPM
KvNE6fbYa+ihdaG45y5CtINSahmGXZV1GKrspjRv3bACIxAaYkNSm9pPUvd3dRkPq8pyTwhPPg5M
QRFj2fIGMv6h6m1yNSf3auCF5EOOSzl1uprQFF0o7HXbVjX9uhENjgonj7afP9KDki43+f3IB49U
VDKzdWJGcPtPmHgqM5X+NROBuvGbIsFcEM4sto3hJPVjYbem3Mu4Q+D/+a84aDP88ytQOOL68jxM
UwdVR6wkeGBsvsCcNZQja2reLPbB/eejfHyhuFZiHHiZXERh+sHjZejE8hu+J2s0+nMHaTfCaONc
NOP44FnmqUjzj7eW5iavEWpfj565ddBwYAJ2/Mbiomb+9Js2UIoEVz7svGxUt5oGkw8ABGuW0w+g
yQdj9/nVfvxYaT4yp8GKBE6JDuL95yNsqkaFxufT9hxfe0Ww5WAxUUF9OPt8pGP3lb20gZgNpRgK
j/cj1f6i7E9o5YZouPd5GhFqzIGVwoKncX4mQs67/hcjAojWQWGaS7/8/YgGLOiGE24Z1LE2/gwn
TSMpKfXgAsOMuG1R8p9QXBx7QVGS0NRZxLskML4fcEQgY1dWxFTcDizr/lx3UBG8TpYnvsejA6G2
g6dt2zy1g+5iMrhjU0ju5Yy7l81bz4ZZqebEKMeeGN1aAxEhojDjkDI4eqKfs5hRMKw5C0HZn88A
+rQbCCTVbQet4UTz5NjLSNXJQU7I9oEO8fv751YUUCexvCKG9O/Gcm6IwowiT9sMeQFw8/PX46BV
8zad+Bj0uYs2BtlD1VblD/mAkIpXH479d0xBrBj4qhM515eiK9kfsUeTXz8f9MgczmplQGZlArdo
EL+/xDkUhC5VVRmIhDhqHnFI1MQUBlaRbpuclEsieW1i0yYAy5+PfORpeoiFLR8pB3PbYWoMldEK
7xtfehcO4sU0MtjczWDIs3ZezIlWXG4+H/DIS7rMaCjVaDvySJcf9MfK3I1+79gx1c/C0lCIjETC
DJqlbz8f5chT9EyXr42+s0B+fbAp9KcwWmwbi1AjMxTb5YyUOQs4OUwbSK08z1SfboyJtIETE9rR
kVmHbIP1iE7u8ud/XF8o0okSLxIRSrkcMJRlhmTf8G0EE8qgHywtABsAzsjwxMBHPhPG09ny0Ovj
kpd37I+BW1oUXj8wcJHV6rwrdblxlabd+djoT8xoR64RlZWFnovZDGrxwfLQ5LqJ7bJAEEqPbK0t
9lPlkHvBXbXMu7pK2ufM8E+Jb45c4FtrHDklQnBTP7hApy4H35d8JATfw4htoeMs4ce7SFfzia/i
yEvqW0wBiIxQAWIMfH8v07Yv2mHmAsPctHHDa2o9Ns4pGdPHURbBiU7bFFIOupCDV0WXVOaSBlkc
ZPfhJhszorLjVJ7YHx4Zhd2RwX+YPVEQHEyfgyhr6sk+Mc4eaWc15k1o87inPv/gjozC4YfWOks4
thXn4OFQGpSKUw7Q+IlWyk2bQosDy4C9+8Rrfmwgtrk08xG68iYcfNmWtO2I8viSXKDjaCrMdlXF
6tvnV/NxVnSQBQtHIJBkz3d4NdhpjFHR76I66GTnTJ5Eh9JK4Oog+pmbDE759PL5kEeuC6UXlTn0
V8wabxDXPz5fQh0RIeVspi2Lw3Ibi3oLk0KtPx/lyIV5gnkRlbBnu/bhKCOi/IjzPwITnxzFKo+9
S7R03VZ41DjxQZ7SJh4fj3OJ++YEOFzYpKkPHpliZeDkGs1QLW8hW5Rh5NNU19PqblCt9fPzSzx6
IxdVN6sMkocP9YBCT0jX4EZOMWnDOHCwjVf9/PfvO3miQCYJFWXWPTx1UHulbq1YYIZcD2+F6unJ
pNl0wsyzfDXvT/EoMhyWEoxEPuePgxliSe3FPxzC7UXpv41z1a2sVI4PGJxA842ky2ZZpJq12fXF
7vPbeOTJsd1CS05oC4fKQ12VTPSkadBrBZVrR8+L3uN5Hny72+YV9bwlQhcK3udDflxWUOfwwDgP
4BjB5PZ+1o1HE6iMq4oAusG8cwbT+JZrENQuNZOaATHE0jIoyca0WD4f+Mgrg7kBiBaHEL6/Q3cR
NiA2sHA26IH02nXq2AR61fX41/tYLg8XHuYsw+WGHVweQAFv8An1JZJLlDsalogi0AJ6fAp5Xjgn
XtBjr86yNKPt4o6iMH9/MwcWNTLx0IKQGJPsUtde2jqJZkOf8lKylaLpyqFTtqODMn35+9vpcRsR
WwleH2dZyP+YymAHNDS/F9oCjK5bAgdh9U2Gu/p8lGMvqEdQDlfIR8g6+n4UunE1jj8eVeEufMJS
075ZCp3qlNkNUByAHp+Pd+wlWU7yHgWlxdm03PA/rmqeO2ikA9Kc0K7qZN3bfQ3SLU707sTb+GY/
OfzqPaoMy+6D/z2UyiWANMI0togSmEM5Bi3CnSHoKl/lZw4QhhKKhIcbXlqtoOhT1UQxItYltxSR
24nfcuQmL9IxjkPcY1b2g0c5mwQuk2DOZIqOfUULsZbTNjXJGvOiolh/focPBWQstLw0nFxxEy7V
gEMBGVwRYuVMCuCpEUbAZ4siTOkiQQwknwlvEHRtAFAQ+munLS906lpPBm5w5FPShFdHtcApfxr1
bKizXGlOjFCEyerCMyUCl5Cj1Ylv7NBx+vaDbVzh7PN1ZHaHRiJV+HHk6mSr+XzMxSaRvX41qtza
IRMvz0IRLVKsptvF4FgwWmgNQc3R5BlfLH7ucOKDOP5rsKBBKnJZMg7fm9Ttc6nT/AzCeUb5hRol
eXPK2M6qsPz+xiliba+Pki4RMb1rkh3mQJOTQISY6n8ny/3nzvzxWw520DEy7RT978KXBVmJdTIn
SMU8dZg89nryvmBApVLFfLPw4P/4JqsJ8LFnM0rUN/HKbv3u1Wqb7Ep2oBFkx8nv8zf0yBzADs3l
k2Q9Rim//Pkf49nurFcYdRCxOlazabUZEetUjCfu3fJRHXz/jLK4XTlk8SgPPjqFvjJXA6cPJCTN
S5iSUtk0ZvQdd/OpDcbRC+Ikt0TvkPKjHzwmmcLHonFOtaP2sjUKzn7TQvo7sY05OgpoaGYzKiof
xbeRF9Ym3jSUTVEitqVS9gASKAIV+fnzOXbnBKsrzwiPEyWN98+n5cgg8HcyENjm7UKmWnuV9O5q
uLIP/2YohwLtsl3HifJ+qKJTHXocHlKt+vpGhD3akky0ctFuj+njvxgM0xaFPTbupAy/H8wucPC4
Swo95rd4Oww9biLUL2vwDcX286GOPSs2fiyrOBbZNxy8fAu90e0QiHEOcYo7mFHiGh7RqdycYx8u
tABvKTqxwBxubMtcurQree9K1LN6MMxjilwoGb/G1L228LWy9eeXdezNoISI/cwW/uLheX8HrR66
M3mx7EmqDDnxXOiPbYqWgdNCfOJhfbw2ajAYBbzFfuzzHb8farQNPwcBXgREGbS7OGzuKtGeI71z
z/Q2kScu7MhoAuE+RiGfzQk+j4PRBkvD0t0WAZpK93wRi35BxQSj2Bjm27CJwxO72I/vB8H0hu8s
mxOO+ebBeAmOMtvQKuQkXhO91MaMNMcyx/vPH9fRUbCO8BlzhHMP5yVNk66CJ4V1tY6y78BJ2mvg
KNmJFfPIvVs2WM7yFnqs3gdPiibAHNUCIVcpJ3lrGKFHPGSZNud2MbpPZhPmv//6sngFsargmH1r
nr1/WJabtyhROWhgwOcIUJi/ktL7SyMwSy+nDJtpiQmdWILDCompDWFdzpJDY2VZWC5DIMQlCp1V
i4+7D3Se2Yn7+PFpMa+jr/c5qbJvPVwWGyA/ziTp9U15M1x6cxqCDBut8a9nd48YdQ97uMfszqn7
/d0ThWZI4ROOGFs90ZpZ8TrXBAdA+vm/gI532aJ/okQ+XJCL1Mrjc+LgbS4H7/cjRUh9tUFv6sBo
puSlqLR6k/Xxqar/x40+w3DiZT9BBjy+n4NhPIAWjfBAjwDuthoULSK1LkYoY9aVHOpcboAzwaCC
hFirHbYgX97RTWVjXBrNyU7csWtephDO/MwmdP3eXzNZlXYC9LIOpjaXFZBhK760E6f4270ASwuO
UV5MJkgXF+X7YfSJNqa9FAorbxRr3xpfS0uP/jmr/T9S6B1S6K0e9BlSiFDfXVt1XfU/v4j3HfI/
w1aoXC6r7v+xhRz9P+BA6ImyqrNmUdr/L1vIEf+hXLFoGiiPUKRe/q3/soU8/owHyocP4kP3FsbR
f9N97f/oLrV6+p46Ex5P+2/YQuw+DstDOtatN/cWe1W+f2+Zzf/YfIcWKv7QMiSR0NiBAoDZ1mMH
pGXYGkhTCYnL2+FVjs30nA64IHRRmj2WlMbY1+aoVpVHSictNLU2o3Y6K8eUeG27fjKwVvyMWpHd
ZoRUXPeDCYBFRXKPmpig1KaK5V1sW7kJv5Kd/+wneG8IakRtGkrj22S78t6vKcqptCiflF/GW9i3
2PWyjKWRw2tQxqwuGL9tfWfxiT3aZtaNAT6fbjsOXetudS/KjJU/dN6TWfZtuio9khSGIcle6Bb6
RiCLdD5L4qb6JSyd393U3kui9d6ahe2+8n0aTfZMGsKyU3jswL1e2zMhNJWLbYUyJgKtcTS0C7vx
mKQTNNcVPSlia0Y8Ej+yaBA7TlfahUu4yU1DFsVVhUH/RTetdNhHs8GJ3O4bzX1+410TPWOtdLRV
q7FUIlkjeLFebLr1BAtn6kvRSfNx0FxkcSRMYl8KFUK0MR25Y2KExIaENLKCxFbVJWJsa97o+YD+
LUUMH2S+tUj7qBVvoqpQX3RtjH5V2XKBnKCGAsya2TyMvUDnbisQbck0AHFrE3LvY9+eL8ZRILGL
eofMBq6OfjtHd7RqGeepNdRJuN06/5QYZvZQWETVbkRiRL9CCxvWaoJiNG26Ourhmk8hnjRds8fz
sSaMleBZ6wX8ZHgjxmiqVks58Za1lTkMpiFyfS/vADgMmDV4kBGdg5z8QopUT5OD+D9FmINoG/TU
be+jt93k8BfOJ9shogaBW7fOSqO6C4fI/Tli2kCLZZMRrxHx0ncFJOr8hkL2NK2FqIwzTrspcbm2
XuwNw/ZvRG7FXwfT63eVEtEjBF+oV32UAVufW8NbOYSFDJyRh3CPstC6bg2nunST2ruL0zbel6Z6
hR2a0u0a0yclhnRDM6Je6Vbhv9Rgbh/D0cACQtp989ihIV3SUvOnhGDjeC+siScUNqO7UbZRXrow
97/5avK1Mz136c50fVmuR72cC6I0bHH1FtsBkn4yEP/b6fcRka+4qZyRpylnma+JSx6eLVT1N3GS
wwoDupwS/cEWJN5kBiJHpDMuat3GDm9oZqCizNF55hvkjCI61x2wO0Hf2WkKTlTA5uxsKXbCXcxf
+gD19EKvCx3Bnr4A7UbXmTdsl9qtKzQCFZSvdmQPwb8L31h4Y9oDv+eViEGVxuMtAguQeXbqYDhT
RTmcA902N2lJ9mIAVT/azLmZ8inXQPfaWeXIJtM3Gl9j2OquLixCgysUgeUbuY/jpfHIyVvsyDfK
d/Ps4ITLxEpze4KbeydxNukCBfTe+IDjGyuwfeMG6pgO7qiO1xvHDX87b5DB6g04WMdS8wDpJmF0
S9sRKGEjbetbBQaVj+GNXcgxVexYNvgukbs70f1YLgY54SXdiN61sl6qUTBTZG9wxMjkM90igyXs
IFQCtx7GH1iKusyiX+KNsOi80RbnN/LiPzz9hH+p2i+OgZy0qtbdF0IvLnsI+pSeXsivAgk+deFP
6UUdwal6t3eT6k7vZ0GwQfyc5DHpHyrepIZDnmVq/6x6pvgQDO6vGGVSMFhhcuXEVXo9yuLM1Zp8
I/vpax+Lx0mDxzp411PSnQ+FgR8rvyxi8UtEzYNmpJeV1d75EFIDL65UYCmOZUqr7nLodQHsh7tG
pdu2np/CyPqZDUCr0ChtVKTuuNPe1oymdJUYbvGlk7bz1GjkgvCcJJL6ukLZOU9rPHcDbqHhgSQS
IMa+s2rr7KdHYJBQukuUTrHRPPvFnfz7HqgzS8u92xmPXkscjm52Z5Wu3yBgvggNnRyhfNfW5TOW
6KsklldQTX5Eunnp+sNWCX4xJzxj4yl924fTvQ5w0nOGlD/qb+ihr2XTX+aVim9b09+Gs/hemixI
DSr2wMysHxIbag1y+zwBPcpiQi17BjzFFyDbdV3mlxo5LZNm/8yc9Lls4FJG4sHoqUn75pcRz8OK
LUAWdFYChbTr96E5vogK1whG1UUXiMAcYy6x9EkBVZx1B3l170PrSEz4apXR/vQ6z9jrmluvOoJ7
AmGK5KLzfWTbmf+rwi19VjXaV/prLAgECAXICMnwqtJOvKmaL2N//to7+Xyf2XLcRvqy4NmsHtSB
eItLFkGBZRbZdNMKPH2kFaVpg1/Inr37kCiFJ2tM9TN97sWu6LssJKm4TKqzTtkg5kV8G/MNb6Hp
+89xabckQkOLJgb6N2kv9ZqzyvwU9SLaSi/55c52DYy3MM/qXiwx9oi4gZoj46mdIXzFLUAZPfEk
5ADpXee11DY68325ljGy3MRit4KCSm5B9l3mwiFJKIvqQOnZDwXzVhPqq5a0ydbzo5gTcdLe4ay6
K5mPz+wm/a0NmlzzCyx0pt0PUSXlCjdhvi2yztnIKFOcMshQD9LRJOp28r+pasDqXEuFarkq9+Nk
DABBe+NHlA7eKp/tS0sWF1prmOvacB5CBB77Qu+/ofXP8TSgrmE5z43bXrk9lW8HyGB/H8XN1iSF
YyVju7vuQxLhcjR862pq90kNjyptzfvcyc5Skyk8A9IDnCrR17kdZWcVuzg0A+qstsJ0yxdOwhqC
2/POrS/JIbjWkv5rlie/dAvDVYSbj0iA6EHP6i9mPG0KCRLfbADbr9wFeI91rvuqZZ15ztTh7kwC
fwNyFkjasX/UssWt7dfP3qDtBJdHwgAWKPaKTPu2ugcCHt4qY+x3S5RbYKVhtXJ7yJbdWP4qUnOP
d4d/aTDs4bIaZ7mp8v53ZOS7YsiGBx1/BJ4bxMb2PHxz3cjeu3k1v06F4axbMcSbokOCNDgO0WPx
PJSrZCz3LFM/pEp/sCXKp00291eWyIqNIRL/DPtgcxPFsXHdiVidkThB/OZQKKZoWparmWewg9/2
VTX4u9DIDN9QR3gPmv6r971iY2li2mP/uSSK6BvEKVJZu9lfpaNWXEn2SquySogTEAPy6JHZRPej
AMHKi6VlMNii+S6riJnr/OS8GRPCVdVkbxrHwdLqOLhs8u6aqKwzphhCp3z7wQzVDU7Emip5c1/1
kbW3Na/aQCjZRG6criYi9YBwdg9VGO85OTiPMOy2ujWcxZKUEvZUK7ZseOeL83JyvsvReHWhjTNB
E3wKHYa6ODNlulCCA/hq8ZZgm5VGUBo1SyAjpHAQqutBVhGhetZUR+NKon63UuLOyHcKg8rvL4pp
NgJvDr19probq9NyBKD2OrKWo77cTaLaacb80nmdFfhYXV77xjE27mK8mvP+RRC9cuf16Sv36trn
BU1N+7JOoEoDi2wWxCggLYdtuW+B/s6r+tU3+2sCEbZFMl3g6Ptal4T1wYeTQLhKkqFxYOkifiZm
51dhjtn2f9k7k+W4le1qv4vnuIG+GXhSQDUslihRosRmgqAkCj0SmejxNv+z/C/mD7zXtlhkiJbH
npwT5yjEJLps9l7rW8FkJmGLLWlqLX4fy4l3dellx8YMHhLlTPuuiE+zBitdGcOTD/IzIsOQNLzK
NmHAUfqpnOImK1ssqhZeTWdhh2fkMSreRbLu579izf4ZV8sdlbYtTsvlq+mW29ST21R5tDgqz9wt
1VTutbLg9TfgKSdOv8/r9MJaMEFjRo8vp8XC5VYk0P11HNuDXB0vjeVspdl/YBOUXLoJUnDRT9jl
tXghbbE9FO5MgomTfAMjiIZHQPvoCdDYuLZ2WwrpEKeR6hswnUXIrTf3jtSDsBzZw5r6ElxhKFUc
0dZZHf7n1q69LoopWodq7tU2mzz3VHEcOvSaJk5zu4Bplg2WDIxhB7PR4tDoHOiXBEHtFyyk/F1p
HPWU5W3i8HJRmc5Au3C8MLzWuMzL9XUs5uRu7kaxy0o41U5hb+0eQtBMzmYymmZogLPFtR9fVZmH
42vy8Aj7wosW1+yvMWDwn2uCjp2I1bJkFTuN/dDBW8Q33t1qNy8afIa6Zb0ZjPySCQ/es53fLSVS
nX6EylZ1bODwF3qs8Th/2VRPoa7PYjvkafMpy5QbSS2L9NLWH6cMiSEAxTiSRr9PTGZqzrf9fu5m
0jqItGtk8VSXy5UdtGoHYOOWKdjYeaat7XKncXaoyOJjVYhytyiep98ZzVYUqdq0BmZVtP3sneLp
mhDk0yIsgLvtgjWuAd/CnArcu3YVddS4oxefpdfl0BUncH0BO3sNglRCQJ+zFMdkxTwBmmEmRhrx
o6cStpkxZ5I/gZ92sqvQI6MdDP3yNSH9jqblwKZ4IBNAQqk62GbzcdBmhbCy1r3InfiwFcbmaNYx
7ucKCzU7j/hqabgEt9K3uqm3X3WVgvT3GXTQtR8Wi8+xlxj1JzI1w0CvzW1TzM1GxFq+HzGtXE49
yhfYKp8xarJNj2NjN9ilcTU4wyUihwy2iHqwMnYsZMCiIImbu0aIfN8Pifk19TIT7UOVwv5OdIxr
yXhpBfM9EVs7mw56qNJ0/swOZ3nK6b6HRjaUuwkD5gc+pCsraQuYGLq3y/JlonM7AeueW/JWU7SP
Rtv+GCejPNJY+FbPNrHQOZSCETrENyfL3bCUmSAx0IngmaX3XZFw6CywuS4djn9c148Apx6aWokw
lUFIdlZIGWV8ShugCG6usHBZ5v1izA0L7+JvRm+2I9PsMVWbc/+pcxa1X8qlOXg4jbZ25Q9slFGt
icDFk5C3mMK81eEXrN9IvVw75fRAugng/En2EbTgfuMp1ntYSls4n/Ghnmz10VPY6DVDsPTrBm4z
3dxOXke0D+iXbc+nmOWeBde99rZdit0rlll1PeSO3IuCNL+ctIZf+FKMUMVDsCOgc+S9SX5CpUyp
ATj38WjaD6iGv0vX+6mU6e6sOrV/mPag3RaVKsfNmJDwFVD3HLOCmAW4BRsZwyzJOtcgFyNrtjxt
EzdtzP8zOEgKnbzPOpUU2ONWYwtfVCT5BcHJs+f+kRMrnkp/DaqQY7rvyHzEXq1NbJ5EGzVKsqui
+kYxKUhPXtIb156uPWaBR7pT4Xz2/PZi4nJ3g+VXe7fM78HbrX76eCaMl1XbVeSBoIJkkct76PqT
/T3uyELK8HBvgxykjtRGzOHFhEE3PQiOWVSlWhPEQsc+XUD0nz2SQOZanDQvZ1PHfGIkJfkygX5D
Ze9UNyq4qxL5kTxRLBkFJ0aScxvjJpbNsq1sKBwYoxedbT1BB1SFylTfLUWTfG7JP1uuR6gQHWCa
gYwYMhriQ1LlwXdVTzFnTtWoXI9UIxN1YMaS7anBy7mxNG3e2npshV7A41hGSQ3HLwGLHoq6cVtt
S6fLamHwgAq69POOM39Te4kNGUEbSClv9JCbkrRM8/PQRmLy7Lj9Rk3Ew3onXGO6MsjzAv5KV6iJ
Eq2iotiM3mSCCYHEwofZxt3X3gpak4CPYQ/XhZRXSzlkuCGX6NJotFQ2fkoqlZG3xDp+OahuqKgG
zQANEKus8Q1kDAyARKtgJwRgymhOeoAx7MVdZtqsU8GpWWqwbz1BfyrCqz4RxYlrvgecQcpbJwrq
KbFD/GQxdM1J5G7G0ZUL206tky1U2CzARLoskns55BLU7GCRNzPxUxWIpGAG9iaTEptrJ+VV3JtF
tw/mVhenCbt//tWKpSaPQTdmB9jp/ges7gbpMZjby6hjvcwvgjKm2sfOPL/R3cH5ITtj6sPCphK2
rYEwATqSWWBvmSGbrVsbBkDYgXRfIyGQ2aATwEI9U07DVTUA9cNP4O1Hq/KxHFIDWHPScqZ2r+9s
j0+qbj7q9VzeDK6Z5HuHVq04oMNA9pj4YF0uKIhlUZ6PEVgHY4/1OXaPxYDqhjaXU7jbgcxSRUQJ
GA3erLLRtxbRMhkO+nkr5ACaB/PKJUnPoYs+TO/9oyd6/aCmAd2QK+bkZDTN/JAnlHH3KtXnY5vB
h4h4o/s9juwfvpNfNJCeppxaiHBnXnxnF1vuXu+qL6ZWH7WB/nxOJFFnfkvT7Kca04PStYjN1Emf
/WOeNdlGtSx1Rl3uvXx4IHb7QlZjRDrMoyvaW792b5nNv1gOC5q2CCO0HPKESr3ctHk1h2jKQy1G
mjxgAx7EA+XCz8RqnjAA7Pz+R6eyh3T2frTGfFQwLC4c5Q/6QZssQmIbQ8mLWTRyMwyQlf1GElYx
qkC/HGWLs9xBNiMQ2oe6aD8jV2QX3g3lXVFlvBWwvPFr8HYWuOI3ixcMbsTykDkgB7rUca/TBY1V
uPTEv+GSwy7eCNgoN8S2uJ+kxgsW1dzj9AIuGH+nGrvRCjU2avlXTETfqzyZv+Re2v0aeuiIR9LB
2ACPrYbuXqXylnLJ+KOxW0eG6bTknO8avr3NyHWnh3EoSgg/lij0Q2DAVgrHRWV11HXWdGsHC1kt
6UA+YlQa03LquOaMJMJiMo9zMGv5QeKSGGE4IYDBJwpxc+9p9ZY977FdmIc37Cdph9Fy7DuQBZR+
dzP18I6wyyx5NEUa+zwli/aAlEmVfNBSQ8fW7s6cS9UQ9B7kTl3/mRcWClYVG0SOdXlZXPTMrdrJ
IGEuA+6ES2X/3G/+vz7Yiz4Yevbf2vDRY/f4rz++eqye/v3fPjz+Vx/sZQPs+e/9dwPMROS4ysZN
a7XPoYQan9ru3/9Nc41/YG2g6YSeSKf/7KMy+88GmPeP1RJK+3YNvUA6/Fv/y/D/oaOeDjjAkhoM
I9f4m/4XyhHaW7+rwpAZGoxA2xQ1No6RtT32W/vLmhI+51z4hPLSfNkTFk99RJBIdo2x3nEPJtHl
9maeluS+p7mjbyg21+OaBa7P0QJThJ7uXJOY5tdC86NB6empxo5LYqs34KCJYyt7HBuzciM800ux
J4KzJO/OtCfnOJiyTFE1Lt0F9TSr2oJ0bn9IC7ggiZFUAy9cpvYb5nVCUTnZbdsWMOcmEFX8nbJf
egDEYjwQQhN8RfLGGuMD3JOwB0qQIw4n5QswkB6Z78Ns7SZS8DjfA900w6Ymo68th+AQsHAFoT2u
8m/kbOo+Nhryv8de/DJ9rf00N8WInqeZgdt0YMSvq5kJmFNkUHxolgQGROB2PZCuWEnOB0ZAiDog
Cs1jZ2s1F3jw9V9xNtF+Gi29/uzFASy6Wc7klBSxzZw4JWwSoCiY7jUAw478MjK3psjJ55KSkzXk
SZRmeQoVxq1nyBYNYbUF5vqb3FRpte+Qrw/kfTLNJ1lv3wYjUs3tpIg1OzpksRG7veYjZqM2k6Ul
vfnjiJhH7bxmmL+pOSjuINcNNGnmJPkiPWO6zbsesTxz//A9CDhhb1rMFh+doIKHnAgHwhUxK5MC
muXyh5yKFNHMcecCglz05FtpDzKNWlnYhAiYbfCFXpSns1GzSm/HomESW125iwytljpdmBYteaCO
N6U3DZSqX5K8xinM6TINm5K4c36qFrS/0qyistdazXAlIc1JsAcZ62Tg5fF38iUB0+WW0VS7Tjbd
R16CQO6yPkHGAXKjX7Y+TCBoFJMEn9L4q7x76ERu0EUkCpliKDu9TdnnS7Ob9Cz5GDiisXcqy/Fl
KjedoQnUZkUXNq68kGZxM29n4L9faiM1bwPEFA9lYJKO68HcAiTDMyIoRWXW+hH0CVg7IvRuY19C
MhnYLQUf2jEXSyjY7/4cpqp3orhTRr51HKlcDuWjhOvAvurgVlM3XebPybSJmQ5E2jeeok9a1cAw
WhLd6EFWmZvuYzGZT24lc3fbmcL+ASLG/1Ig+b4BBzTcG1MhvFAlyviAZpfSnp0+2UbDQmz3H3M/
Iz879TlQlo2ITNX46Xa0C3nbVhUFr8nTbB8EeDaTXTrP6saes7TAclyVWShjEd/Do8tuZduOpykx
vubsLo/e7Nd3MDmD6zSbJJ3Pdh4/s3lSjwlAFiYGqEJ8JIaeX2uWEiOkl773YfbZomTPOiOT4fkn
bFKZIr+3Rc1XZ6Fkgdvc+8UYotccSypnafOz1PMg3ySaQcpxHkOMbNSos3ljy1DuSy+O/U2cO95H
gD4ZPTJiTfNQz+I4309eStPUFguJeECL4PPric/PIiENXWkLdZ2fS8ELBtMzlKosHP1CqGD+Jrwh
zg+6qfx9SpP1s937EscFJt+NnHVF6dc3CL+bZ/zniv9jkOzbyGw3SC240VMaBREnzeZp0QmKQEMl
jCD0YjKrSY+cLoNsHElEdaf6FoR/GUcC5Wn5SRsXj3fFTp3v2HqNdO9L+h4UxSBt7dok1W0g236n
H3Aw5/VF5i8k7m5MKvbxL9vKRiLtBNWzDhaq3nlsia+KhQZzfwmVM3GqKK3LnOLIptFROhNhLEs4
YygxYi4Ez90dp+pyDuM0jpPIHDm0ciB1cnWpE3M+bxY9Di6g1XhUfteZLHQJQ/5pjhyzQuXPpbkr
YIThdFh6YjvNMp3sSxf8UR/OOrNdNDS1D7jL1p0QfyuldDvWVjakW+Dbp88Hvksu+rhHGzGVG06X
HidzO62/LQF6PmZ2vy+3uIzXQmVZFDccJtp7n2KNtxko8nucDVp1a2jtQuIkpY+nHktNEVqNV5nh
SChrf6p9W6x9oKko8Ge6iBFAhwoJhqxwkhNJsEke6SKBZYKl2V0TcykvoIe0vDyqYvSvFIxzi0Oz
GM1s60D/vZk0DhSR2Rn6cDG3VscLZdT13WJBfjjiOoKBmkJNQnPgqW7jEcDSRTaI1nbvVXLNCc6K
posqTpQGRCFB4qFO9bUMBf08uGmmS/815/bIUPNKC84gJz/Op97Uf67Kbr1qWKZguCYl3Z3ncQlk
QtdICZLZAjkK0Eeqbd1VlRFhohA6d2Ky7tAPtqBGZDxfjaqKjQgAgJZulhbJ88YiRmIkHLpbUFnh
HbnoG7+zQXVyg7akzMYGzpIE9gvBwmLK5qonHDXwtZS0Z2K+qVHU3UUuCvg0anEp0seFuapaAupO
22QAxgXFzBMq8tw++ZlrQ9Fy0rUgfbV9z5SMNYJ/0sctP/OeTN+VadDwF216Cwun+lKNiSNI+tWT
z84cUA4xCG94oqji+RtlxvQqLIN1GyYqJXWNKRbRQ9/GKRgsu6CqJOP8NtYmoo/XCYQJyJ5MSpw1
zmsq593wZbTNJdjzzpvX/jD0AZGLeVnvRjESdZ4tpnM00nxs9/mImjssHWVc5w7MMVOA7dw4M3Sn
yG/qZgv+ENqTlhvQmhoPahK/OVp5+H90I/XBAcKn+pyKdOsO6o6Vlmdtsx6qzRLH/CEUWv9Drnx4
UsUy5Y96bkm5zycKgeDiKkhmKLP8KznlVPIAAFQfKoE0ut919NCw9uhD+zXVzOKbO9vWpSfHJTv0
JAE/1jAQasrBhnklZtv8qE+6o/a+wlkczvXcXS1jJ+awE44OkZmgaw7GcZOYGwteLY9GVNVd7Rvy
CYKb9WQzXLCJhY9KKo7H/iM5mMWdNQ7B7TK1s017J+lu4Y34v6QfNL88LTNOk+n42q5c6DYyMyT6
VVb3/iURG82N1FLQa6RRlC0u2pxW55Jw9G/Z5lItKyzx5Euhfg2ckxB0Ta0Btjkty++ZKPge9CUD
uGvUvBV4fGPgXqpyuYOdLjXxOLqdd6wMyFPbTkMiyRdZe3dJK8kzLzrVfndHkMWHhBDbe5/m8tUo
lKCLZdtUJStD2T+MQKNl2JYBZSYK8MTz+oNl3UDvpG3pNDTMWL4N7+uUgknfOG7nkCg7cVhO0LV7
m4ku1JXdeEMTuubKsiXerf6VMDPRRuqaKbjS+txIHzn6z0eJ73qJvGXOgbhhYtaiVrDRisZx7cU3
RmuStzuMgGRqyvA/i8lis5bSYT82TmkAnIxl8Kk1G+tTkxLFFGEysp8Wm7LDBqrD+N2sJdaDvMjd
y6F1ehS/JNx+G+eGKYaDs/MB59S4hBNmwK2HLTfd9voKlCuHxgb6WtSc8Il7ji81Kig9VbNJu7Fb
Jb/YyMHyEG151ezx9WWnYojre+X0yx0zsbiq9WyyDjm1lh1VzW7lbpeAF7McmmyOI8JO6A8svVPm
QODiRZTDkWoflqpIxNSbi2jNoyCDGjp80Pi3tKH8OsT0Of2i61PcT1Ri4Tmzc2pDpZkNQiBNdZRf
WZmmzWAVqwBtSvnc9KJzXCrNg/+BKrcOtZoi4vgB9Tcg6npadUJFspLbhr5n3rI8AX2QiTXlpWU+
3vkEibq7vLfUnSDw/Gms1zfOK+yCjv/KcENBrpUnT8TZZe7nzI7eWFB2zPlpCBdaKgEQtaDR1d6g
XXqNzszn4Wt4tFMbHJtlMrQqWliIRNCjeFKUzAGLVClUPn6zIkFhkFrQI93ZGA9KWbQsUVVNt+zM
qscKH1Wzay1f+6xVTUyZTEGotAn2vk0rm6XC7BPyi4GhEgaLXKyFg4owU6MIQbsmNAZReiFg6+qL
hNhoh0FWmZyjEqtrt3DKrPsJsjMCNblAXPX9tp33FiWRDyPWDNqULU0ojI+9IuE2lsX93OiEZTeg
rMmJT9bWS7oMxX2LWhSEpBxxCFtOwYVR2aT+ODYU9MLRMY1PcTDa/q5b4sCPZJo6D3Bf1Li3aMIU
H1TWutdWHLCZzHOEbbVTuVess/rHmZ7hzeITNy3Zhm/o4qDOi4MciI4uem59VcQchmjXQqJa186f
lUseMUudrm6CLkmfCD3Sb2q7hBRZZ8DImLbt4SdLs08dTS7eddtQ1A6ntLd/lOA301DwhfwYG/bx
yEgzu9kMHiG4HxJvzD4DqO3ZCfcZ1buKk+FeA5acknkJH/iC+hShv41HxTiDs2ls60Yfib91nZ62
TLIs/uU0Y7rc+XTbUuZszYOkKTL9I6hJTJb1Kilwh2CxIyfJJjYb9sg3JRUAwU2GqvK26zhKbwyA
vFYkQfHSIDesh7a3axnaQtew1AxDcp/hvfF4erpsAYnLSR3pkvcoeITHZARN8SGwY0eDP4n/c2PP
Pl7yFmKJupyynHM0ZOkgZUsj6ZeS7gXNcZysmU2CHywjtxwm50AYORbI0NbpHnMCbVekIGU4gt/l
IuY9DAeog61ls7AsKR8X1dnaupyo/mvHYGEJJ0l5ofqbuROwe8MbeLwYGfNLu67Snul/MU+QZGNj
X5qOdan1HiwLYeX6Y+kjV6Hp3Q5opDKity8Kbtq/zOH/V0P7vYbmANT4Uw3t06P6///vRfXsn3/j
X9Uz20XrbYHZ0R3DRNBmUSL7V/UM+fhqlSReyNJddzXL/lf1zPwHB0KKcLjyoLfZ/opZ+U/1ePAP
nxqNgS3C4d+r8fgvgmnPrA1knLBpNdcwSNMFj+Od+XwGOJXJ2jZHXoZIau7QXMBT6ra/3ZFP/yzF
/W4aOXMT/XMUiyqijTkU5OBZgU7EbQNruWo3ECiDbdxrzkbVU/mQoK+IyKjR3gGZvb4qTFjcPV/H
EIjfjBv7e0GwNDhiBpOvNr0KANb64wQhYjA2f76qt0YhTBfXO1YVHtPZVRm9n+VKZ33lAGfeAoWo
LtjbLNGfR3l97xwdpxyZjD7MArgBL69FgRRKO4/t8lTYqRemAeo0eGmOQw5qMMM3N2ie3vx5zPWp
/1ZQ5Xkhr129XzohSZBkeft+v39BbUkCsGeFNrA2j7omyYJAFoN1yXffubw3hsLqgkmCT2OF5JwZ
fWhe6wJpGEOx39owRy27BrIwLduqfMdf88addPFjEPPKbeSxnb0VTuPWvlZXaGqzNr8g8sI9uE7e
nUDQBR9HJbx/Wm3+p1ap9S6+GO/sLs4dIk13YDxVG4gBKiNutG0+uNk747x1C9kfQNY0uTz4GS+f
FqKwZc6EI6FnyHQICeLN56jL+uUBdrh8Z7C3buIzx1PHTwH+52ywgOIeR7WZJXs2i6gflHmVugAQ
HNufUZr8fTAvN5G5kGwpvjNi/NaP8Lfa/mD3aFEzRG1G2SPEC3Jzm3UcMRI8sn//PbvgK0lgop8A
oezVUJlGBK/BUCmRuLaKnV3Wdsk7L/x6g86+rRejrE/z9wtavEa1iBY5U4iPaeole7+Y5Td8ffZp
rVd+Q49099ef84sh12f625CG5jiFNrFpnimpR51ZuldtvhBKA8n65s9Drffo1dWReO3jkluj1c4+
ZzqlqVo09FANXo9PhWiQH/oEAv4vRuFl52NGc40/8OUFxU5syzSg8iFaQn+sSbi7bBDu/s+jvPWq
I3pkYV5XW0JIX45CshiiYulSX1Gw3kKf+Mhj6Vbxr6pp05uA+ap75+N660vm1jEdEqTmvsqrzDXy
4DIXvyM9f3dPMvo9Le3v5EN52z9f2luPCUqYDqzBxQh1bhjDGUtmG5V64rVwRIxV60cot7p3Pqhz
7AYzIHqhFRNHE5CF5BxEk2p+1pdOTTnZUhYgGmsMHcrSW/o/CVt5YW1ILdrHRHwB2+lIvuGkTv9c
t99Lj3t9vdilyT83TQyW68T88lFypNOHYWCVMXCXuEjDiQi6SK2+eg+FY6yT+ssPYGU4s9cBaeo4
mMpejjS1iZ8axBtvaO0VRx3n1k7KxroRg/qQuNp0VMDStsBcDCS5JApBtOH074Wd0QUXPQnI72yF
Xk83qwORL3JNmNWhAb38fcaZ/ZE2TGiAdI7xSLiCCth8NyYYz/TEbHCzDu7ntu+q94ggb46MLZHd
K+ZZNhQvR56HJlgSyawzpjgT+6SkQI07CrxTQt3lXuTje2mZr58y1/rbiGcf7GxaHIAN1iYUHX6o
RF6EnEXr8G+/HUbhAXPjXA/IxdkoPsU0ix0lqumZ6ptGFzkcbMxYfx7l9eTDKC6+Ux8ntAsw8+Xd
qwVZwK0HG7NIAvczZUe5tVZSp96XCOEztez+PN5bT4tXdj1zOHwnr+CchVhg1LMsufloE7gife3S
jHVEb37VfjCHOegirJ/te5TV98b1X14nxfFJSmHLDcVadZmPQlyQqrF8IK5IXfZwtlEY58Y7099b
N3fdbZIRzwae+M+Xg06NX0lcONzczHDuyKKY+q0ZDOha64DgkxSO7e2fb+/rmT1YaXH48wEBEK1+
tmL1xM7UTpugLorbOnKlVBEE22Gj1Xg1/jzUG1+BAyiXl8eB8goy8eXF0bNeitGlJjOP9JL0YsEO
hQ/onc30W6OsTF6OoD7aD/t8XklMt51c5g86OTFCrMwrXKj1apn//lk5vw90NnXXM40S20R4rHkN
xbCCvneRe9co+1YDzXt03PXmvJy+13M1nFjeDoy9xtlz4jvGX5cu9G0x3h1TX6v2dLj1o6gcf9t4
Lr2wEb3WpppRW7zzyb/xKcBfsU3Sk1wO5OdZ4F4xoS3pWP0XrQu+lNIxP5J9iPXIdCQNW3fJAXPH
79Hw3ngz18BdVgi2Abw35svXhTOJ21kGNTjHwJvXWAEJK0aOLFtHP/nnN/OtC3w+KyO6AcB3zlHw
m3Zu7aRhQ5WK4dLtZX+B0dg5ZnZgHrrYI7WplO1fB5+jQVqFSCYbERIxzrE9COTMpesY1eoptWKw
y/w1TrE9OsLqr6Y116P2sUZJvJvvPNFXH8m66LKPIz/4WaF09ikSwFE3UjKjJAgKN6ZeWztqMcNf
R9Xi+QGUAb0HwtOruUXFdETGhXd2yToDxwEaEFqduEvpCtfvALjeuiJmF7af/grePEfmEnkN+KLp
sMcRmIH8u9eWh4Hoovco/6/eSu7cSi/jkVEZ4AT48q3MlrzxRzoZvJXFHLXNbF/ihUcOOvXtOyvf
W0N5vP8Iop8X2rOhulVsRK+PoSSiaMoeWtQsM5GU+nz48/v/1s1jL8QnYDjsG87XWFn5yEhMVPPK
1vF7aux10zGV278eZV1m+Ly4efoKl3hx2msTLw3I7WYKc+i+6G67khqwB/x5lDfuGhvqtZ7HGLCO
zqaN2UCtn7eIbcmyYXPJRLXFYZ9fxzJZ7v8XQ63TReAwSVGXenlBnlnJVEuKNTC0j3ddQQRhgaYs
pCTyDr37jQcEseO/RzrbF9RiljF9yGYTuMM3TDfWFlNw8877tv6QF0sMnQXKkwyDaJIkibM7Z2Dy
qAScKPR3Qj/JfJLgFkZxEeD4WjZinKb9n++fsf7EVyOi3oQIiuwSNu/LG7jIMi+hDoKqSAJuIPK0
aKrrgibRgOkkdeIUh8mQbBEsB3vyccxf2qwdW6dudqk1Fp///Ou8dZN5kGsyC/VZ0Covf5ukLqve
j3lzkEmj3m40ktH8+unvB0Gzaq5MPaqn5zeZsEF0nY0jNlOmTPr9Y44kuSUi7C9ZqxRl2SsENmUj
aEgrDebl1cR2AWl95uWsc3xnsEndDXHrOyj2h7rT5ne+urfuHTh0Xh4Y1eCezuaqfmqBAA8C/2jn
xJfFMMuLhlk0+vub51PwQHjDuuWeF7a9EnnenDAj5m2lTqJPq+3kWNnf7iABmtLfAPzLsYNiztmd
w8CgFRBj1n2ql16V2GMxedHz++trYRRqlaxaHKasdU/yW+3LXwat09Z3v8gspCPzhGc7rv135tzX
lY71YogxcZAgwxh7Lgv8NgxiUGQklQeftY+zkzb71s6Q5VGMDtHU+nDlj87nBhDMVqZefEm9++gG
TfPO+vJqf8UvAVXYok2w5gCcHzIWCWOlS3AXL+5gGttuStv6ExplfTg5/YilYBqDMrtAdo+A9c+3
+Y1JjU26T6sFPhbbrLNFhwg4hwjVgDT1KreKMNUJsRyb7GTZiR0iTOKffx7wjS+BxYfZY8X7cdPP
vwTTmyrEesxpq5R5bC3kwNXy3pfwepUzeKRUyHiDVgX82XGAmnMyKY/H6qZZgm/VExdzvXgXtGzf
I+a+voMM5QNXw9WN/MA+W+WYK3FQO9xBUThoq2aBWxGdT2p8DZCN/0yJ6Irf+c7X3/7lurAmqnD8
hWtGi/Ic7p0W0pkSacHurystsgPpfJP9uHyXvVdGhlGb3ymDTJdNaolDpcz24c+P8PXrCkmOjQFc
PBBadCBffppVLclvR6S+0WHfRyWuQ3KqHpyaApUkRXjT2+/tKl+/NOuIHFrpplFlPT/3t2OWZ6aB
GaxG/Iewou8PfCrvoXffeGmIvWU/ySbsmcz18rqIh/HAw2Aq0BCEQMgo5i4MYiO9AXpp5e98B/7z
+eX3p0hxzae1TJuYDQ8UwLPbaAzkibQWKZF2ZZfaoWe6fsJlo61aobz9MqFoNTZTYM7Bdp78uTmR
Fw8Lg+09ZCg6ZUJGC3I8NN98PxVBurl5ovenDSgOPNQNRPKJ4QL6VFnsx5h+53H0sdjtfKudxWFN
cidPMi9i68hLPSfHeBzb8oIgJENEXmck6QFrX+oc1mZSv29l0NefUrtsMRYUceERSgzIhwjaVPnR
JGPjvmHxKUJVEoUQtqPwMzSCa3Jq4ZLp/RnrG1ZUz2+xd7SI0MrIF0li4LYDYxRf+mNMUqlfFdO8
uuBykgfxg/ys6phUPXP02Ovo+BuXo432f02ZHJDPSp4mxjemtiHy2qKDj9Wu6qncJHA18SeUjG6b
kF8L95LjwUxdOwM/IZTC2Dfk6lC2RjHtUVknCWRCpIqhMtFXbsa+Zw8AS1HH/+ZCDuFXgJW0J155
cqNgtPIqFKShPxFoj9BoqUhX6ht2cpGdVoa+ITWvw3cbL2O1pz1m8ghRjoA+GUXmovkP7CHUUgoZ
u4HCIECoIciSY+9NnsMediSuVh+XGPpLT/ApXKdFE6hsVOLviPokp7sYF9fdrgLmCpWJBeLQ5NsX
234Qmb8xq0rhIN+QrIvYfXkOyV2eA3Pt5/BcSFVAARINoP6atE7Abgl7wNvEq1YHKqmqcwy9LUJf
H0nfcJBrTi/+QSha1nN8ryGMkSjfNOmGiAN0dtGPkzafiC/l7rRg7NCO1jMK38Cvs9tMkhJcjXaH
/zovl3mXPQcJY+eNH7ug8hA9i6yvovw5djglBOWYI6X/5clZfZ3XfOJ0QY6OqXeNLUbl6eHkLQKI
YtBN5LZDGfkD5yo+Ssqy5YPrzJzcRW0GV0thiKui9FNrPytrqUCud1UZIvVDe1Sy7HOQc/z6uDxH
LUPOSO/75wDmoSeLefbz8m7EcIg0m6Tm6jm0OX0OcEboPnEEWGOdJdq2TzYVVhH5RkzwM/aB/Fsh
Am+OSodkaIAHAzGm8IJAN6/Z0ZZnYTkUa6I0UY8zNsznoOnuOXS6CYjk2oplwIzhPAdTDxWZ7+QU
k1c9Ae365SyDDvsCqMspfo62VumU46/IPXgvozVWxc4xSMLGo4x5vujWgGzk0vUeK02dfhmMNULb
y1szwx24RmvTq7V+ZUFFyQqhPtJeTcgezoe3ItnwaLSfy+eobg4/5rXrJPI2s5ApbnpY/yjvDaNq
tjLBCBDh9IWmoOcaMeB8KSVADVR1J2vNCa87n8jwTNeQ9Wu5ZnyYrFp/KhYE2Ru5KKXuXIiN0yM7
cae6TOO8S3ZTZWbjUasq2Zw0pwiQMRdZKU9GLpz4k7TJFTgletfcLbYxp9+SOpDwtzqQyV9MWVfD
jifke9cSuap5sOOmgNSt16N77DJNETPLd+JEpe7Gy2U9mOYUSRxo/VGJwBkjcgxJ9sXSwfVhB3ET
44JFZ1J7pS+Juyukl8Z7qVUxSsh41KMCy2gc6Ra8pN1/sHdmyY1jaZbeSm0A0ZgHs7Z6AEBwkEiK
ouYXmFwD5nnGnmoVtbH+wPCodFdku3dav2ZWZoUUEkUCuLi49//P+Y6RQsxzGgSSdIrQu1nfOkS/
OOl5PgrBxpegNJzIC5DVnRCzWvcsX8U9M45dPm8tmFPlDfHZmf60DATlI1J7fEJcl1qOA1ssB3E8
JSwQ80e8Fkl8zidUjjueACp1fnX00+TBD/BiAAyxcFD1dhXzcIOgodXBKG3GYih9IEmDGdeffmcG
RFJraqpcRSNEQkynYsTMWWlJnNxMpglOvzD7ZDgiylR8b5AFAuhFOCU1uk+FgypkNYWUogb1KO8b
vy5zzLcZ2nQYO6V++jOll6NlImaxIlt2JZPDjWo1zFnbxm3xqCawYbxJSab5IemCoAKlcZGQU9uj
2BgGSbfXJdy755Hdh4zev05k87pOxF7xCLQyB6dWraw+zmZD47dPMmFclWbk6w7y8bhyOrZMd4Fi
jEfRGMqz4oM7o2gKft4uskZ/06WGlcvga5RRyaJM8ckhJHielRmuZQCk4GS1Rj3ZLOSxe3AHyvk1
bOVecoVQNzMy4CXhJqa0L6Ak7EAGTJGMt2yJdnkMBXqEq3bZ+q0SPw0OqVDFh5ASowitoIifMiP1
wXhjbPsYefXsSAhEqdDrVsj5Uf0gYS9SIb5SF/EthZa03s+NgSO8n9gvO4pR0gPmWd1pTi+M1nGK
MQNuc0Eyb4tUDsQdBL1usjvRmo5aD4ufFMWQSdook97cYQ6DBTg1cf6u5okPMjDPq/d4CtRjQMo7
Okv8YMRQ97Mm29pQZA9hLuul2/hV8ZTWcVd58EuLcyFokWJDGSYoNrWC9EYyphHORQd6Ex3S3JBq
EUn+7BixnBWO0XbJB8KTcHLi1OwHlnRFqztRAz3uRUvLBkn0FFQHy89xLshC1I1YbgwDmSsLwns2
u6hjIZHIZ2AS0IWS8EJxsYIkXamdDDFMScA/9QY6f8DRVfCCNpsIFyaV+Uqfp/JZZeNDhmU2BZZD
EGH9PJuS8IC7n+hMfVYAbfja3L73Uqtg9qjG96FMwjdKIBgLFQiheEUj1RnCQPhU2qG7oaiRfmt7
DboBklCoGOVMHuek9NabJSCmXnPJomdYbvO3eiiSHRRICe2Uajbv1jwWbzR/wsFRJ5nMF5Y9ClR3
LYIlCOyqwuI/WsNanDTjISIRXlqlnYRfaGwKQVglUWFCa1SGlEHSoi9dhaaJZF72FUNYEx8d30VD
oako/AvtW9NqXeDlsUIgetFZOe57ZWDVYnYVFieZla/h0t+KDprv68NGtSI5dEIAf3DxxCCBRTRP
tGepwMMk43mVWjYWLiLFaQim/csgTimOoGjSfNCskz5INyFNDC4iSaRi4cRNXB792A9l9LlJ0Tut
7wMcSolJMVzMaUhkdQvjjq3GBqsfPe/kV/T+2VWgFDMxLUYDfmmWcdGt8cQpoS3PUfxS4eMcXIX6
OXha2kGepmH7X6VZluC5DczMi9WUL5Uqwn6SR3r/osRS8FBjBvA3agBGhRvEH67Sbhwe9di0CseS
0vKYpLpJgqUcIw5gNtVbTykakT0eHnyLQJsGM0rY61qCtlgCRxfSd9JWc5eVtxrYXjue9dA8ZUmA
53PQhbi1s9HAsElyvH7TCZyYrWYEJdXrQLECR5Vi43kMcOmBYRG08oDvTN4UQZxp20JJR5+XC2rv
pkYnoflnx9XbzC08F5o5UlOPx55wxJnlE8seDs1OgpqpYgfSF7oRkHZbkQm6x1oiBc9hUBmSqyQw
dOG9ZQjdO4vnrqsbkRa4fp4bV1YaGzggKCzCDBXDMXViRI2vrdrHg9dbtTzbYRPOdICsPPmYtAqY
FAvF4KSMovGqClJarRCY+oOr0xh/mttAxYOSa2LrxWEUKewCkvYAHS94GuTQYsExB+I5S5iPwR5O
TFVi2/WaU815wWDT6sq38XNoD+EYGsSEKbF2XZt5csp9BIROqPTB7WwErH5LoRqvxt7nA/VpECeo
J9rwsZ9LC/5JoQK5RENkoaANx+hmqmT5ZYzIlgVyhs2qFZWA6Rs/ZuTkfg+pYpgl9b6WxemFvAWU
34nRK9hkLAHfD6C6VLL9bplTR2WgkCL3lng9mnoVRm9g3Uq0BixOQzsn9pUdm9rwdJw7H8wQxsHg
PcfciF8jNGVoQ1wgy1P1HKBe0qdD6nIms1s2x9VbgjuC0j3x0JU3lXrTbCwjBYyim3kMrqqLFVYs
dZ1OHpxe2hR6M8m3s9gHbB+msTM9A3TrlsNqP1NZqR6lmWTDqYixJs2tUXyIuTh/MxsDDzGyPXV0
ldDQYfrEZbAqKEBzN8qoG3iMj2qwaqLaOknYt+7kdmZyYKURqS7SSe2unkzWIG0s1S50Xf8kTg2Y
PcUvso3V1lm6Bwrr105X9sKhTNjFQraSou2UWmawSSadfWc8lSwmMcKIugM3UNr5CopFO5vVZWiY
rX4zhKNxD/FDMRy5LfOPXoyHc1e01mPZ5WFIu6bpr2J8FSksINU4y1E5fupJ3PGwbH391LN230/D
uED+ZG7XThbG0BHZC93jpkChltAMOI1AsisnAqj6MYfNfNuDKGlA+PrTI3rbVnEsOenPxNsML3Jm
DaNrilG/NWe/Nnc8ASfT5kEkQxRh01isG6HgsTWXMVPR3CYw1szcx5Av4266i+ckrjawl6lLtyUy
VJyqVoyLNop6E2Zl5z/501jdBmowq+ixe1z5E+JcUqRm2fcdU6/zGXqBDMZUoZZfOya3SsD4jEcv
rUPrRbbyCOtoOCntZgwj6xopWBl+S/FG6x6szaVIYKb5LUJllEZJE2EHolqXw0KEVjuszIr68wqJ
jaV1NPTpfFiTY9Lp7+fOAWqQixninYTl+LbyDf+d5XA87IW56+rNiM+qXiuCrlVn1tOWSKOzjXUP
pagq4zkXkbMDIgw3uE+E6bEbuoTqgIWOBpNuSOkTbCAWVuliZ2U7jrVVXVyuGLgxvDLYML+mFyMs
QeNsttKLQVZMFrPsfDHOJhcTLWV/DLX5xVzb6EWuX2Fb4lGKMlbrruWLJZd4clB9xuLUFS+mXa0Q
qsfuYuVNMtNiDwM/6ZmVdnI3DQG23+hiAc6NmvUh/P/sQb+YhKu4mYBAXMzDop+wTJ4upmIV9ePL
cLEaGxfbcbc4kHWwg6mrXYzJ0sWkbF0My/HFvFxdjMxdbPSVAxPBf4ewjNU5/dP2HOf+dr6Yoa2L
MVr60yQtgRJz2IIrOJsXH3Ujdxi9iohuAQ8Ynud4rb9br8NGmhWTnO1Sv/i0hWIekuYe+BeG7ksN
8d8WlJ8sKIjNfiit/g3jggXl9b//69vrzy6Uy4u+u1AU9Q+aVHRBFNwXOn0xapbfXSiK+QfBFnDU
qN1Th1KW7uFfDBe8K3AxDbqUyFERpSxt+Kbo2hD2i/mHIiJVWfT0dBxQwln/ig+FvPefi9FIPFQC
FIDUIw6xUOgvtdsfOiiJz5jL0ypFAhLWD6WUxi+11AV3ajdgfreSVmi32J/9h6IU9fcgJZsxk2NW
2Erpt1dBORafRpkHu7lsw8YTY0OaeD5KPPxESMohpl0fgupUor+2E1QuqdOPsomfqktuTGHsVDck
R5CKRllH38a8oAQ5dJibcWrXRbhqfSkD0Tn51TNCteC5YS/H1tNIZaYvKn54pBW/wyNWFPXg+kqS
4qqVcVPm3WUTjL8x5fknULwzi2aB/8chVch+NPJ7sHEd6EzdBDY4ABC9N9FwQOJIRE20lb4Tb5V5
whycwlq5jri1w8O0wFtcY4zkF5FbvdrQ+mWtEqpCejOl0VB7je/n+mqWR3lTVUOOGRGlFtKDnAR3
2lFtdRZ9yaQBizP8zTIz65FFYnWGh6/gcM5m7O9TK0EqVs1aPdOHUed1lYkJRckBeqydCfS4AiFJ
9K2+BCrJYjE8Z3JVYuzOK30Poi16ZZeOskgR/Ql6NHrpcFc2hXpfDMlEAK0B9gNKX9sMsOGSzl8r
RpYItItMqHtsWygexFaZHcQ2N6iWBj5LmHwWV/iJJqzSqa4+R1oXCpxuK6PYSmFndpA2C6GrS3iL
HH+uRrahQcT2iJgf6a5QUZbYBhsWiKEttPMO4Jpop/MIcicYgs58KKkmw6oL5OITAmQVbuJakEDc
56L+RPet7bZyMGTPSdp2CgK0yNpiWBwDp58n/1EXSkyUvSAl7YogQxxI8NVCY20IbItdM5Bjhl3q
g/7wc401fsEaUGKrOvqPsGs0UsxiEiAcdq3CvdE20YkiiApboo4E8xg0I2CeutHYqjdt1oCyb5dl
8ZQI6rqz/PIqn8ZIWNViEnGS5mYUWGQbyS0a4IpiQDDpwtVUmBQbS3Camt0qcVRvK0kp6EvW0IvA
eajDlaHmoU8ZejS+YWOcw7WqzIbi6mVfgrcO0gq+arqQRGFMZI9SWgyPY6ApN6jXw8zGC44Vs2+a
ds+u038yzHz6LEMB1jtZXJmxssApaQ4aM9ZjsUzYCM+gtrnnIgGHHMsByM1cTbBYaVCkpUfiRPAi
pFibAQYMyX06Y4GyZyNJzyyE+srVZN/6oAYty15fN/2N3/ot3wfga62oazRPZ0kAcEGQ5Bv4dmHr
lcj9b5QsGp8w+kN57CyRLpSFRl3ZsgQZWlSaSE9XRAxPna2RbEoQOVDS1q1ScgaFJmFBMcD7KGwi
STqZnkkOrMmMDOlmALL71uTh+KZktd+6gd4KbxUpdY8ZrnNxpNqFpDcCgSGwAL2Vm3o4SVQCUSrI
EP3XSUqR0qEKBPJdtKxZcWqL3b4717JWrOR0CHER59bUurUyTqfR6o3PhuQTwCJhbnzL+6QqMMwm
5LB2bEYjO1UyMDuY1UxgCVobRBxQlil224vt1TRkdcVY9BVyOAatLleyzqLaYmVduTnX4gXXeTI5
WZwXuypmZ+RG1NtVZ4oJE3Slnq4PlSIqKiMln5saL6u2UoB33wfqaDG70gti90G0AgVu6rLJhhrA
XvSj9DmdLekA3AAPPFMO2/m04BICt0cWaMNNqG/yRABra7FZh2hXcEfkw0RBOB2rGLp1WMXpVUO8
+0kXVOVThfNBlUCYp4AQhkw/gcwE1ViIYzugdFeSD5kiwbugB7SLi1RpGdCSDNxDA1j4YExBZHhs
3UsSbKx+pIPdx4q65mk6Y41Q6JK68FxUkm/EEQ53n5UtOEfgGzvBqPwrJW0QJMH7xOZA7SImUwdi
Iy7HsAdjMQJ7ehrV6sofVV3bd4FhiTBCiAGlzl4lBJ+ahQoZCrneZCMSmO6AjRnVVg2k7lCH9JwY
opLy2FcZdScFiU++C0UDSz5lNs1Lg0S7L5RKqreB2FF3sxR/3AhVAJWGnbD8UbETOCxgai6CAGhz
E1blsNFECoLrhBge7uRIl2DAp5BHtEY0Pmoo7xOdrMG/t7ALhU7UEXvicerBSLd5FzSelobVhuFj
1l5firFmYwCnJldTjzlMIab+VZ/GRP1ZXNbTMLdUMcZxzKg3VMNdyxT6IM9Kxb0TS+1zDQp7V3Uj
rGR9NEOK6VNf3Ft9iWyylvwM+UYCy5vNjC7tAzhK4aoRu+jVUGf/vqQnh+ah7qI3BVk3xfE4VM9+
onLeoqbvXwmmEN4rY0AO9K+vPo/lR35u64+Pdv9a/u9l4fpWlEzIhNVdfLn/+O7Yf9Rg1D7+g19s
/sPr8vfXNiryr6/56U80/3n5cfBRLKu+n74BaBO106njYtx+NF3659t9/83/1x9+X2beTSU4wNd3
WD8unrY6emt/Xkwi9/zlCvSjzl+zb91b8U9e9n0NKlsQAVlxWazzlgRnib/4fQ2qSn/An0cRiS2T
uVfWEUd8X4OKf5AoTf1kCbYSDUiDrAv/WoJaf0AYxDJqGIttgdgr/V9Zgl50hP9opCO6QFxosJ1l
CYwfGx3PzyvQOaDZqYXS6cp7OQYre7u2t97R29qet/du+c/WXvOVvVqtAtvZbXafG4i+9qe72Ww+
B/t0/o0YUfpZEfL3z7PoJ35YEatYlgi7lk7uk3vnre2Vs9q4P1ykmz+P7Udf9kWW86tD/qKiSQrg
p3TDT+5+s7efPNfrbXtrP689+9b2bJv3dDeO61457pV3cuzVlfubT3AxVf7qE3xR2GRx3ahiLJ32
3vFl6915nF/n1dnsnPNv3glpy087jL+dz68hiQ07cr/nYPdc4SuObrmuy//xz+OLt9+4x7293b/s
vZf9sbJdb79/eeET2dfrrX27vV1v1+v1ar2+tg+rjbNzrjaMhOfra2fj2Pa17Rw2fGp3wwnbuM7p
yrEde7PanZyrK9dhuGx+fel+NzoW9OaPo6MFEAl1Wjp57unp2zGwj/bq+eCI9u9O28Wy+YsrZH7R
lyS9gZaFK3Tl7l3X3R+5JfbcFZcBaXuVfeSafeOusDlh++Un/CI3jHdr86+2/HAZR4wnbif7YPMj
vloG83a7PvDPzZlz6e6c057zxv2295ar77rOwfG87Ypf5PvdznGWMejtGSNHbzmhob3hivEarpfn
ckWu+EXO/tP+uFyEo8trfn3KfzuAvojczMAv4IAvd4vHMfLp7PXe3V5Ohc0h8Kn4r/ObC6BcRGa/
ugDqz1d6NiaCL5cr/cTp3J83znIS+MI9us7Vdrtn0L0wcLf8z+UW3q5Xq8rmS2/DKd27G+/F9twn
b+15L+72eORyMKcdbwPbfmSG8ziLXKfVjhviyb51dvZlNG3X2+P29mMb2B+3yx/9dnd8iey72f4W
2FuG2/b29njLtx8fzJSezU1wOHPT8s/T5rw6bz65sJvN2b673W5H2w7sNXfN4/Xh8HjYbVb3293m
/XxyVmvn5Lh7Z7U6u/br9XIFGWdn7hZ7tdtdMwnsNpxul3nnMhFx5J9MSHuXu2uzcTi8LSPmytms
DoyEyy8+nPnXy/15dq9OT0+ue3befzMOfi5V/H0i+SLVayqCfozlgjCFPHEiGAjOtcNAdTZXfFbH
+d2TQPtZKvf3d/zyaMpak73O8o7HLcPf+dxsI5sLugx07rgjB8l9xbfcLvw/e8eVX751j96de7e9
3btPBRd9bT9dfVvuHz7wcW2v7276ZYbnNr1l0DjnFXfZqrRXh9fY3jHOdq4r2+6JmfDFsu9Xh+W+
du2Nu+JRYO+W2eA3d5i0TFq/GupfHnm+1KIw4Dj37svddrn1z7++dKq43Cy/eocvTzye+xLbeWYz
Bs6RCWd5Dlwt546jXCYghhYDifHFncNAu+JUMbyZtviW88HPNozJvbva8SW/7W05/Rt+yvODr7kT
HO4pl+c1f5I/v/yKV/D67R0Xj8mCe+8yIS7vuPWcF36Fj2A7XIXl1/lmZS+304b35Xf5izfrI3+e
W4A/xa283a6W2Xa/f3J5Xm3vbE4Ur+FhtIxAZk4+HK/n7y1/zLnmC6aIPZ+IW5FVDdf1YbVbfnW1
23L9D5dZi6PerAsOnktre6sN43mZ55c5nM+25pW3zit/lZvO2R2WW3s5TZyo5dUMjIwZh8vl8K9/
fcl+HvpUJulnyRhgAUmz/CNd++fZL1Lp9AM4DlFPjMEhmHvf6YasvxJCrYcuKiDuH0nD+/Wb/jxK
vr/pAtTAnrEY477M9LFJ+MNAOBxEQDk5JVB9VzP6ld8c2heh6J+HxpIW9Ak+AhaePx+aYlUBQjMO
LTQHCWiUJQD8nycN1Z6WF795s39ySBLR2sZyMqnWfV0vkNDnGyjEQxsu/VJ+yvx1gULK+/WJ+yeH
9NO7fFksgBGUqfTwLn1IzlM2lOYtVhcy18fW/9f8A8vZY6+gYaWi7MYe4MtbdZ0U6rUP6RU+hLYe
TIJIqm42fndAF7fDP2aMZSywsYd7jhuC8F/pqzB7TrGJKirCGBlgHMzY0EgIxJBnApnMICd5DvSK
E9JKEzxL1Pp9K/cylSKQuIbdtOn0YMqIQ50hEeJwOymd9jqx00We70eygpKzQ0FELlDf4i8N2aIH
Jg3nNbTtAVxdS8URoLEYZydQs3LuUCLAbourQiX2h7DIyk2B76GhLhOY0w0qq9nuJJmmmomo4XMu
KGKvsrLONlQpxWFV6wmm8s4nqn5twbZ+GIhLD3eyTEQnzUjG3gjX7r0wc5KkBtCSk00+KbloLd56
utdCW8NwxSA42a3Y5EcR8/SD0ihZsQ8pvhABFi6eh1AfuHsUjQKPh5R2UBEAyglBmnqAyU5HWxki
OM+xQQs1PXy7jmZSZiNlyu59sTIQJ6ghtMMCg0q9mnU/QvIr1Gm9koXKeurDtHouagPZKPapAhBz
pADYxYNcWiuRtNv9mAiD7MRtWUk2sXGkNFGzC0MSJQlPnMWOSBaouFrugNCkj0pPu6k3upihdKRP
kCV7AgEpRlC37TXPqOqYrCZ0i3ZdiPqnrpfSZxZXGvHDhjFZ+8Ulp66mTka4L1ildWjByCibtIA3
bZc4U1DUxmV9TMtgMCFIZuprLgfluSHG6dmoqvRbnWvwcwzY4p1b1SS02r0uxvtJUlN9pVKIbO77
rAgDT8/VcXRac6SGHI9a9Zm3fY/Ap7VIZJZkIhpXZTnP5zrpR91pheUT5EkRXgNyJbgRaz1RcbVc
hS+Q6pKDlBcEbFAvVHNXDCROC3Qd4hebieK/p1hD+tx1PejYOLSafY/sBiouOcgUi0rVcgm7NXGz
N12wslKaKpus7JNHNHha5BIZhKi8LtAPOinM1pjWZgRyhEtlnbOmKGtvMuc6X9W4FUEgMuA/kOyb
e+IukExNuTlOlH1QRhJw1rbJpgmT8blq+1ayqTJkJLyViLGhmBifKpk6iJIqksAOqhYA3U8a3O+O
L6X9aWIeeUslZJV2N0dUd82ozW7pdtTJ3dgzRtDFj8L9CM6BAL+CknI9m8KpCohyXAmK2u0STAm5
ZwpmuUhH2nZ0Ku6iaVHTxQ9FVAFsRAwvcy+KMY0lodf9vYIuJ4NqEEyxU/pymtiTIJBiG6oqUa91
DU5mI7VxcwJBY3ZAbLr8JFJCRhoh5X24qQE21ted0mrZCqRmIZIwKymhV7cKRFgybywghIXRoL+U
rfLsLx2cWIzkN+nS1mlEuuPNpdlTDwM6gPrSBBKXfhA6KVpDVWJ1tRctHSNg/zSPRCVPqg0YVPml
KnwzcacqG8MDLZf8uqZ3x32/9KLyWWCqRcFEi0rVM+2+xcNq8chKaWINSz+rIeaRpn8FYn1TXVpe
kZnXFGMvrbCBOWW2haVDRtg9zbISsCSNs1GNgCj+2VADtk6s3dJnQ6lSkdpwab7ldR6uAvIKNKSF
S4MOn1X4zapK2nalWncZMdaRf4dOEHZtlnEl5ku7jzgEWn+NORCDFSgJLcH50h7kjqKQqS9dw3Dp
H8pLJ9EXJh1fhDiPd4iO9fex6fwHvPFWu6WBQsMe4VdwZ/UKYTKFCK7pUldULiVGPehfCXOh7hia
onJWL9XIvLait+pSoyQZVLgXuSVf4a1Tw9RQn+7TS2WzuVQ5/UvFUyOJ6t641EErIlsJil7Ko20U
d88+8xT6sqV8GtYKhdSsmzJ3XMqrIX7V03CpuepqihKiWkqxsJ0FIl8uFdrxUq3Vl8LtWKFB8YDD
9lgYgMmXNEVM6rx9Zfn3zaX6K8WJ+aEuJeHyUh1OL5Vi/VI1jpYCcn2pJXP/8NAitsE/EPUmf8yE
rJJmtZSgCbW2aL913OVbMK7avSAihPFa3DOItko139GShufQL8XtHFL7xHmvukMQF3q1xWoy3Zlw
PZezudTH1UyPqZXDuNepwKumuJJLQdX2iE6upqXE3lyq7YU+FsR/lE1E/PClIo/ZhOp8YC6FehJE
qNlf6vftpZYvxYK61S4VfprnVPslXQO2PF+6AJmoA00VTC0wPP3SKLj0DIibU/zDEpx+hfN5Iu2M
urjvyl3UvaLbVJ8aCU49aY+A5W1N1pNXAOREeimhFD42Ih/NicQsJPWuICavn6vmnSC5FPhKTTym
28d5x0QDM31weoJnZ8dCzEkju+voJgxNwP1TYS7NCDY0gjcmHk3e0pkl6bUj9JO0KMi5xAVYwreg
9ymbi2NJDyjom/SW3KlZsROd4eZEU6r67kQnsXFE2u+jW6g5YZkDLCgiN+XYTzzfiLpbIbR4RgO+
IF0hj2bdWktSFY0syUEwr1BV14FX0ODOd0EkMC0IOofgzo0c3hnNBBunLBrrU7DUsSOWWAzvgPmP
smO0QtHtY0ygIH9R57MCrumB5pNctOsAt3zqzplWjysywAqu+ZwFNDfQstE1lgEIID6sMeNNfZaT
HY38Wt40mtw0twHBEUepnfTGjtMgvR4tqYiQ/kr9eaLj53voxqV7n4EkecMQlyOppI8WRCJkx7nC
QdZyTix1mdH2HIs5vKc9lN0jXE6Ok1oqp0iZyzUDtl9bIWYgNy1Cng/JrHzA6uCSt3ioT6bAih9O
vUKiXSD70TlvaHI7OHR0kfU3Q6X0I8DgkxT6L3HZ9LOn10JM6MTUt2DJIVURIdcNSNXoepBJi0hM
szORZDInj8s2wSkgmqWbR6RUOFNIYqhtJkb9VBsJz0wMRQwzg5tPcvB6aQdA09G4mhtGns3qQ3n2
p7I66J3mH8epYNQ12XLtUYTse3IuPorSHO4mRFymUwp9QMstQWHmBIz669is0xe1E5P3LkHh6Aq6
X9yIej3ptl7Rs3YG0UKMNkAB7n9TI/jbPoazZsn05nDzYh6Uv2zgswpaaRYaT1YEGKJSWAyN8JF/
8yZ/28Ysb7I4rDXeig3T13qLEqkod3n68Ai0VkqlaDsFmSyq2jriYX3ZM/1bw/SDhmkBLVHs+V9/
oWr/pmE6f9RBVH782D76/pq/JEz6H8slAQIBoOqyM/+f9hESJlldWkQWSAH0Sj+0jwTrD2ZrC5ye
aelwRhWDS/1X/0iS/kBUI8vs3xbmgyn+/6B02SfysWCtWUimWO7LXwoVfYzlqhr7Ct1OhmOtTp6R
DD7/cE7+ScPmb4P/y3t8KfqrrTXHGuAcNjxgRIKpCVdoy/3fjH4UVz9VyZY9LywDSTc4DIMKiPZl
bw0zhGIB7lFm2zQn9oX5F6+MngvveWFmL13N88SOwEc+q0akL4ruoanX6Si3k4vjU8oJWMk6YUPs
IxvDeJJDeBKkZDzJZj3F5AqlyadlVdIELTyuptWoS+LtkPeKSae3So38GSS/GWwDBEQzYpyqqK4H
pBGZk1saOkk70oRKWgs0pWEImpXIVhGf0aNRBfgXUAtn2po6SmNthpD4YpvPgs4GDEDVOT6bFrIT
NIP0zDokaWAjKVlbsyk14m6lKst+EmCr+lYiS8aFbOQlwgIQ+ncYdchKVWo20rB3jUK+6jl3hGbr
lfQuBjHZHKKBuLUmQ+8Ui+xtlidBWTmZIXW1gxFGeEQJQpccuw1kVnTa+bzLdaElILbPUJKHyfKc
74QG9UdXYMZyLWuYp20fxcNTYSEucSogtmcCpeOtrI1tSqTRbO1B6OqVM0jUxMj3NbNtXybtkm7d
KA9SWeJRmzWTXWjeNwRxToDnX/UG4yeJu48srjADlFbEHnssXvEltXcScrPAMSpxPDeNMKdrDHAh
2ELii0mNnSAtrtAYgsnPeu4GuzGE8KDx5qkzgNO/VwmExgYikmhJKpEGIXmahgOr/GC4Vswm0zCt
Rl3oQfhJHiI8rgTtlkbw0E4RvH5pqjtS1jNVeRwxYCRkN0XJWcY8+eATGY7RYCKFwIVWUlz3AY/b
BPX0vFNaX3gsMytlvI6NSoCmKloYOgllYHHQpjHEyXQ+qcNMHaIe1Jp6h5ZpoVOJ4N5d8lQg9jeG
Yp2bTOheyZs1Kkdiz0UYQNernyx7/MBh4YBfCgBgLtiU5AMTK0wD76Pp0LK1bdaG17CaItsXC+wh
Ut2ap0EzG7xkUqQfJoMQcyQec6Be+VgREhZ/rRlTcxG6NzjV4XcC1b+fLT8+WyBuUDr9vz9bbqLX
7r//66dHy58v+YvRLv6BIEEXmblRKPwpP/hLmXCRwEoEWKCAWDQLzIR/qWPlPwy4CejUUSwA1pRY
ifzPkwXZAvRsDZQbulvKP//Sk4Wi1tf5WAIugjpBMuAXQFP90hdpylqwqPwwB6dhhH9U9c3DzDKo
cEuZqKwA9mDiJKOm3mdWNLL2V0swmFpiFFAIJl+/bxW1IUYF8xXcJLMSUk9AcHkkoJpkEFEYgncf
oEZqZz7BFU6KxVD1EFjKH0Kus6yOuA0mR2GoCs6kaM1JMn09cPucPRCVICQEhJssBc+BvOrPXGTn
2CEKvSOymiDSikmAidTUwttSFqHnCebUklTRqHOxwW3FXCHHZlttuklDdjfJJjacyRC/SVocGYQc
Feohk1uJ0BQ/4uWGqAkNlr1YfaOkYr23hrEEKJsFNtC5IZuMLWg734mWXmNxTwPZ3HQzjlg4b0H+
hAZGnWytzfV0F/aGjA2z6FNtlYHIm65kOSVFiZAaTJtimMw2+6ygclst1D+EeQhfet1s/dUomfjy
hi6gCiEhY0WOF83142SWnb9ShJpg1JlNpuqEdBLuFcPPb5Sp6NLNoOlkVyhRibi1GeTxdklcldy8
M8hiEcfYlB0KLslHjDjzrJEVC3hYaJDE+aJg4CwNkh4/rKWHj/XQw/dqzJitHXFqQezmjFPCJRaL
IIWsXjti9el5dg1++55mcRTauNwSaABzMd6FkUoGSieRuEicUyCTvqoJpWlnlaYcYz1IVCeibsVw
0ROlseuxCt4pE7KLbTPyyNwoJ+zdow5ePzVK1ZfXOuaAcNNpRVWvVUG1SCNEc5lj6FK0Wx3wBKFb
lR53jka1+FD3WRQcUEvHzdr0zW6p1RrBJgjwuMn/h73zSJJcybLsivBFwYGpwWDEzZyYc/cJxD0I
OFOFgu2m1tIb62ORWVm/UqRapOc1S5GMH+HEoNB3373nOl31Q0BH+DlRgEV09TohhaPBsGRc56bC
CBihpGorHRkmk5XbzinxkWJ0oQxfZy+zVcB+r5VZs1c1SHd/xjSausc9NsRuzwvbvnTXea4Hwvuy
XGc878+4R3y7/LGCx8o2nXQYCCv1jhLPiKh155s7UoDmy4KCn9D4lU9P05/RkjRYdebyw8DZEii+
VxOXj0clOGwOfA4YT4M/o6r/Z2zNLH5FG52HjLO1IH+1EX/G3OzPyNv+GX9rLsK4TpuZOHGDdHnf
BHavb5vaXSwKyVRGJmexJvLFWV4ZJzjD82GkxdS/DSgmp0CpvBm0Z/KZGrkv+DrLyP5TsTlvEj9V
X96YDfe5LUsdw1eoLy1CMO9DVKt7xxnmicZxqq/J2VpTeRhtPqgI9auH/7fqaBUUFJexqqKiatpV
VKstFGg10zbNs0Hty5msJALfnLGoGIKPaSkZkdU0fQhZyvWW1LoYI73K8jJL02kPPQ8K50Ptdvd9
awixHQoKORGNHfF6paZWkVe343ii+pGCKqd17C/PMNlXQB6ejiEXqBCjX2s/s0YD8NVSK/awzCb9
d76u+JUIk+bQyPF61B0s8/bZtTS0gHnGcM+8GvZvSANrG3GI6mLHgqViZO5djx5T7k72xkWD/B2w
hWDvg6uy3GRz6jix66vkjeXJCIi09znnCroMKFyTvtIxXtIV7ErP+upSojyWxy7E5nlw3MW9JZHQ
rzHNq/zx1gv0q1EuhoqXoUxvHbyYbtzKpr518qoq4ob9y8vQ5Ss1T6oU894zpuKYUo+DoXdEbjW4
P1qxbVXre1GN9mclq3rZJnlS/cjQFqeYPQl3YNllyznjamXvHNWbHy0TQL+xwlK9Oo72eXQx6Iso
s4iBbwqqOD+WKk1OimbsZ5EaxVNxRWeysAJksHFblMioMXR9Ar2R0dEDqMnYuI0/X1Lq2ESkC0Pf
2rTed++ULmW3bXCtPipE0xd75RR9itc9Dz+9ghdCvIaSBCXpbdLlTmarw1B0vQ8HYpqf3JGHJiol
WACg2j5FjJa5iEeon8A3SLMq+aRhfeypSJiQhxqPR4PNKlMFaMf+J/1y13xZMG2hPWTtA+s1p4wp
LrQHCraubTxqsScSY7XObwunTDD465W8IV/58D6MOQpdSnbmcxkkXTyk281nESTVg+8txbgVyUhl
nLlK/16Y843RrAvfyLpg8L6aq9OtO9ZY5Us/I4eOUdt8Z98XvE1mfe0XJPBCKWnjh8ASEOAeUg1z
Pia1om8o+/Gp+KDEE4RG6vQOOc8F676XDXMQkxsniTquScouwOX42NRN637w+Q+rm2JK1IXsLMIk
WHHKd0eqLdEZ50UdsmKYm8jtrUbuzV5RPTY6iisuHADZRxjKpnJPfXm7hR5TS0gSMw8QBCj3V1i5
yoo7b2ZRx82eKkvUw+XLYD/0AQ0Un3dRkNyHVdBW1c7SVVvtg2zKblWq2Rr1ju+82W0tyGN7Lr+p
BVpJx2WE0qzt3HGb58El5m4FOcEAn0CBuenAp5QEcKfCPDBYmeY2TepxjaVp2EMU9KMm7xdyz2jh
nFvXFmMjIDxgdK/8Gj3AHGVovhVEB4KtlGUe0qEivF+OT/EbnV7PPkLzJ0d/H2xrJ9c/JBloukKD
Sj0HEpJM1Fs201u6hpOI/GW1l22prf5Ur2ZhswxxnXRXhaRXozxMwmdz8t15YxLjoMn3mqqK2HWu
d/SntwNUVqP/5B0OJAcJNrjkbTv1NB5eL0I6ZfW/BaqW8w6HVPG2Tg5nzdI1i479ZnQHonSSd9uS
zYuxaQkugutpy2VkbVQZH+0iHCaTK4qJVEGj+m07pQrrteqmZRtWgAa2o1sXahvMSZluXNVdWzNl
Rofg5PGzjEgaFQ8iTOUuZXcA/nvu5bzjeVFTzFde0OXmjhwyY5ePLmyixPyhErg9vGJLZGPM91d1
2x+GtywzFPtZ5MCq8Wijm10tnpXJzBx5rBG6LYUKUHetamn4dkpWxVoPwwnYpG42rpuKoxHo4VKb
aMjbuVDiMc2AgkcQQNtuK82+VJvZURyR1AxNlw75UWzMQMjg5MkuHFiBt6RGuJ5xnwpYOX+7q8/F
9CpkWtCIPGpbM6tdB5zq5nhp+mmi5It7bbr1k9W7IehKHpQK+2sDoJh0ArmeTaiFdT+MTGtiHw6J
2bpdYRe5GzsfOzda07yf8aI03h1Z0+YMyBnVdp674gb55LreDym329SWWX2yPCPQk3M9ZwuBE2nr
ThWTY1dzIiHfpuJ7MSi5jPQi06dsBNeP1C+7R8UWM41J+rDbgjdQupHtVCu0zqUwdyTPU2zvY5D6
pwDt9iyqipZL1bfWXkAiAuVU+gWYD8tdSqTlYM03q339uOTeWv6wOVK+agoSnL1tCm2Q8+2mIAbU
0PAxSeryZ1MXLqBGmDo+gCzd3w4mt6WDXBnHN3LM3N9Jwk2UzHjT+TGgac7xbJ3Hhf1F5+xnDSQ8
yig5Yh1iqiG/0j24HBcZZOsy7QGrGBSXH4HpTKz7xcwRlVl98GvMBy12tkvbXTTQUvchWPEPVIWn
AfyaYMg+s2BIh53LdbfamUZSD1FeDZ21z8c+Jbeea5Iyvlodgn2yVt+ZqszfLAq443tz4khmCZEm
MTslpyD9lFABGyQghtAcxp7CginsfhF7zyeIVV7H808Gg+KUQKPB2V2jv/0SS8NWG6JUUeua9bdL
igjmCuywF3be6crfNPnYH2hxtJAkapuvhGROf2Py0ZMRrPmKEtS6b25QPMhEF5UR3HnVxAWFQ2Tm
kwBykYeLUhX+Wo4cubfSwfc2bRvQlVkA3+KNmPeefdFeu/DLHAdj5ya62TvKEnuumkPxD1PM/6oK
/6YqIL/+z6rCYyu/8vrr32UF/pt/ygrXfrcA35qPNwmMKhvyfynWnvMXrSsWfDbUhn/Ecf+pKrh/
XVvicLoFKE0I09dR/1+qwl+QsK5/I60TaLRXKvZ/6un/1I6Ji/yP9VTmH+3772ZIyK54CzCF2C4I
xivN778b0Cgx75THYjIqvdytonKwnJeh7OuVMy6QW9K2ML5VKIqvggztbxL+XNvm8ZfXzzuvDczt
AEJ9w5WS/qdxDYjN9wm5sdxKuG73wjyVEsCJ7jr0PC6U8pYhvrLxrZgOp2GVX1j6Jxeyt6OxCdaM
PBpUsIvmrbNj1M7julycXyGUSuKmoZEfTcbku6E33kI/y08TW/AnR9WmudFKtV9VmuGb0dLrbhP4
Bx9JhsElJyz15JlobBm4qYQEUSo4zd3G4DQPFj9qufGAxOr88cYW2XIz13P/YRN0vbUyu7iXqZ+y
SrwmccGE2UNcz3VWbXSv8tsac+Cp1jVGLW3p8NjJQr3xtHlnY0hAhNGhO24o2kl+pJPdPvdrxTAB
mwvV1pJgnkMyRMdFelfgtLl6OzGEvyldnjclvqdjlSr+XJo3NL8n+XpP/Zva2QSIkR+XUhjUmLnL
q7EObEbJNewRGXOuI1zhU51Vce4GNXTGHJQ/xEToNmIlr6hGXmOpf8UuFrraN0ZXftZe1oN5yM1D
2BsffmOqW79uOtj8nXVe7WudptN59lEnpfEB26Dfjq0I9xAlKRsrR3qbcer8mJB3Xj0xVde/741W
5V914aEwlZkB3sQojSfsauoHcyeN63nH5SxMGd4Mi7th0Ya4ylrtpqeuKafHlcvjLglzhy862QHP
qjZuZeg9zEL75oojiInmOrEISMQynSXOdpRN8FZoW2/r1vVvuNllz3Y+eDcNV7CdElVKhhxG38fq
e1SK0Gxylubg7ocmC29SHsR4XnX4SO+uF6GzcSQbYdrwniI2B/yuKqc9bZ35wczWfA8+8L416vzi
JqD2sXvkL2XuDPuxCetvk+bWHYFH71IZ2dUEMLdVVCdV/UN1dnMZvQqQbCirXd8G6TntaSQf0ytl
i+HrALjsnXB8QV4zDKaNUdNRTkSwAu3PfNQ4E8Y04EhRV3beoUXu/+isdvzOAXwjVTfOfa5wt/Du
G0J+Yjy8jRzLB504sKkHFgcnqCFym6xDtq+HWb7aWaceXaGk5PXK5YI2YGO5BVHTpnFqqOF3YUxd
C/rFU7Z1oaw+sbpHCg/Gh8mYEhSWmvZf+KbhOVXd/IxfcF43pbZ5OLs1e5vacfolhsF5qeSS3jcl
c4UDnuiDblnnRdCGfhKsG47CCIO7VLk2g0ULKQTsTrUXpXV1JMxAfd3E5fJClDIWErtWgA3iXZS6
i+HHYKhwrOBu8m3jlEox/Zo7o7lwke/2k0Kq6Ex7Pgl49VvctiAyDc6TQwuTBsfaEnxpWnHvQHTp
XWss/SWbJv957BU0OpEv2QWbWhej2vwUzoxA0jrZ/KzYAl2gpFEM3w/NjSq5jmz5r1mZJ2325oy6
uZHjMN8Zc1N9tQZfBAIeAtKs1FbLSbw6CgFuZVRMN8mQLy9d0u7LPCl+LK1jkpd1FvNi19700Cs7
ucUBPWJuYz5kHkxFumWfVz0hpREfTWZ34qa1FtwVcXRi3xEfTbd6D6IX/ltFSeYjnyvjBR4f13Rp
Dd+VDNKdLsfsOaOc9E2y37pUkGX8uFFmc2TMWtAaKxk5a/BnNpndHdl//9y16JAbC3EA/ZRsaP62
dC4lGqo9NBipgfKE3lGVFVjHeS3jyrsKxLltjxu2NvLgjzMDfApDjEVQONwPwCA/MSoPmzBsjkqQ
ttW6GC0i1Xg6mBnhfAnkL8kua33QlORB73EA6jGoJsdwNuWLZciOlLOxnHDmZvOmSoZhe4V92xuw
AcxtRf0cMC29DnkCiagAx3CGXFVFLh62285ZTS7tctw5WUlstyncSDozFWWjDGPy13pTo+zv7Nke
T04XhAnOzem96ifz0Hqr2EG2W8/5EA5348z/mdNFt2sBCT5jUzGjsOoYY6S29vz+epLufndX2FVz
N6HVou/kyU0FjeDQ5iAnEenTIoacPdwBYO7PVSGf+LMcr1178oKK9hISx2PcX38lpZ+KvZ0V1k+b
N/LN6mvjM83z8Lfqr7Ahy2/d04qtL8rJjZzxHJENr5Bjw7a6Hyev+g24KI86RrbndknE25pwviZj
cb+k6sgVti5w3/rWQ2e25RdELRNLFAs/Zbb+sZosfQjHNsS7ODLSwT8+0fc3RBRNOxsLi8RP0+zc
h6pPu1tz8Kq4661sr2kc36++cy6FAr3qjFnUOeorIXcdBT7rWGE0EFbDFZAcctYh9w0rSkVnnmR1
dbEEZXibGHlxHMWotvXcXTecS/pNdXp5FyzINzXp3mM4uHIHKajfQSh03kt+Pj87jM23wWimzx28
4juuAskRhhZYU0xU3BA2iTHquKY1eS/BTx7BcXn7PHesre2vVxZrI3kWectlDa5GND78UzvQZd1P
t+bSdH2rOCtlToHB+9xrd9B/4N1mhr1bTHMVDGFVumPLziRvztOR2xbKSYApK8iGKrL6EKxYx5Qc
rVXnHyBR5Bd7HPsTAqcXu6PJBmccylPQqOCzLwZ2MZZKnvLcC6NBhNcMvqG2iUnPnKVt8IsZvD1r
mcpTmnUfONT7j0xI86ACPcXN1LmXylyWrdW3xcPU6eW8iKo+SGFmMd/fehO6vYgAsVBUR4KaZ90W
44XliQAjZ7dTnMp1DDcqaaZ3NvTNHeXf6c5p1+UmNd3yyLJVv43KEA/mknr3U2lP38Zae9vEsZ3H
dPTGeOp9aBneul3Spt7bIAT3jOzZrV1Or12ygCQqZ+dMpwyO4TJ0uqPUlbMzl5r+YOzwE0iqMBuf
VzO3n7XsZ9AOWd6d2sxBvwI9t7AjulmQOaPMMeyHyrcG7wwNzz54lhyP7I6H0+x9un9GrhkNpZmp
6Yus1artaAQEBRcuaU5oW/jvOyuDAAfQZO+lEm6n65j1patWXkrGNFTgd5NAnmG7GkfIvWlscFv6
MWOgwyGLvyxGRtfgJKitO9oFbccbv6KrB7JKn527UPpfsOJykAZ63QXogt+uCp29mQWfC2P8YaVC
9kJ7fBdzA8zvTG/4Fp62D3aouUHPnn7x+pSad2nNv8VgcAI4bkeJE2yFjezX8YYm+/o1BfH6NnW1
epkzNPCoB2X9xfdhxbxWQYxioJmfwWWq3WzW/ZdenfaUQ0lHdIHHAkpU2Bco3LDrgAxWb7krsy3h
jOZtsMwkXqaAVxYUTYQZCTlPVR0bJuSifU0NGZbx3rle+5c97FAm4BT08MdaNhYuCYMZV0+W6OBT
JpXeZllvvjoB1YzmCo8VN25zwjFanSlNS04ePIo7lmfJVzgsxmWYl+xnZVjWMdflhHjTGPPG7btk
i/PEOod1ME6bSidFy32IVV9NY+MNFxD4cqZpIBnoRt8FKyqdXq3mR5MNcut3oo+xA6iHOpHOzpgq
3POyN8Mz9Sgt+RJ7XM+l1entyrL+hSKX7LBOuf3DQ+PducYyQA1mU7mDXAGgqxjFvjA1ZbzZAFMc
pezgaJ4pcI757yUxrGfblu9hUp2MrrHvwul5xPPKSim3+AwWcWjJE5+c9cT/EEeGh7zesISx4pRO
hC1Spp2jdGNuH0tlf08TKj5uhK79XBrJaSZh15pwiO9kutoPJfz2XTuWxsHNkvrJKizx22J2ucM+
6F067t1HjPwmb2gHl2PavvVVcMsFZ1dUBXQR3a/hvbas5LwWqj5AX7P3PB1NDOASRQ2J9Qaypf6u
6BLYz0RD3pKpTndlWFu7fOEtgtkCkRN3dX2saEBYtnNOg5o5L8wDYJYquDB6uUBxtfcDpwsiSSl3
HQToo1qX5WnxK+IANk/egzFM6neLVnSyc10cRpXAxnXtWOTFq8WiIwPc6mH+HzJxc33X6k69LGHy
kATNQ8u8GONNfkw0OCfXqh+XxqbNLYSK7z8R2Ni6QfJY5cYvzzeeLE3wwU/uqtLworJHshxbW4Lc
9CdvB6TW4KTs2TFO6LQit937uh/GdaNYpB67udInuCly20HBjMJQe3d9i5JjlnbybGSmOtnjRAXw
WJc3nVune91l6iFnBbwfpyR8bIerr6QM7D2qbfgC/Z7IDYvSfp7mmzQRwV0CNfOo/eVc1N3MKhS7
z53jS/cmYXl6St0iZi/ZHQGotlwFzfR3ajUuT6TlcqO24Vxf/UPCKaNuHXFRLbymedl7vC5YzHbF
JasBRmSoiVK7dwMWKKqzezSlLQq6i0cIk/t2aPrHSZThjZOKMHbWNH0kJxSAAdaMhzKxnZOPyfJi
1l6/z4J1FhhNl5FDasnFC7Ymu9vyBMyvfpL36Nl+WXzwI0jfWm8RD7YoS3ubUc2Wxf2YghDGfrw3
FkkVtL2mTwhkfsGnz6EY83rFS2qFpqfEuBMsIS9VZv0uin4sgL862SXMXe+rqSRl4/WsTmIdzV2e
+d1lRWj2d4G7OuxkqoqbpruEr2uf1dspbCbNGNX0d6ida8QKp30N8fkAL3JK4zcCMrYJizfurgcz
s5/0WD24Cv50Pdlcszw3d2NuPc4pHXvjjEHN2mo1pQfM8ldk1UBWTucQqzLlL4B98yZiwRocGpxk
OZN60exAupjnfCnWy+yWxlnQmhDrZjH3JPnwgAcsGHiJpUtZogzP5dlXHlDHcZ1ib7BHETnAo278
0vTPRQJFzLBlc84mo6GYIDHTI9YsUGr+uJDZSwsvWj17uKgQXBGDYpLuZ9nwsukCw4+RE6Z7YU9e
3MksPxRQC+sNEgD/xgQGmJNl7GKs5Wk8sYICbxXKto+9tui2hVr5/E8wrgmmzfO2TB28BrKaD7pH
VKqMxpS7EJ1gk/Sjl0L4JxNikZ6hXGx0119wkYuD7K3qIVPewFfu8vafZXsubK/YOFIYz1afN/sm
z9W3lyb2qeocdvhju7xyswpuRpwZJ1X56XHE0v0EVak5LtpRe7JkgHrQ4G4xKGbfUzfzK3EHC53X
SHvkgFb5NYBWZvmhttl9tRYWw4L3AkGaIXiC+gaRlFXLU25W9R7euv2ka6oaaifAwB8MZX1iwm+O
/WKE+9YdOAsZlBuYqGOxY0BQRwwVv3uxlhx1ismKWBpzrXvQRBOfG58to4UR4y0RnXhwDF/8nnxp
3QDqr2MvtQ30CVD8hyKTlAuQQIztoe5IRfjWMczq+jfIq/DSJRMHjhOY70aSJaw7QedC9XHg7rpG
G/5ehrwhpVa3ZbQYq8HOM4Uk1ALzf1h9V9yDNGVzBMVPntfWrh8aR833nocR71jTIPlhVI44NgMA
/k3HTHWs+9J/LMCjP6b9PD9BUtMHt3DNWx4IeZKAbs+hLtwtjydmSq5rUTaZ41tqXV+ciVjPKquH
n6Ids8/G6ZdTG8zNrpg6wWRmjwcqF8yjEAzZAY7DnwJ22IPUXf1NeWx908652JV1OnAmjsnRzydE
qlUsN3gK7ePiFfWhYrn9CNLJXzeFzvwDDgd9WwVcKDcOzQu/rG7qd0qO7Aqd0ckOrT2wz697qFPR
ygcyjDy/JUgQNN2ZBsPmE35v/SQqJZ9Ly1WPSdWGsZXbLC6Hpbh1Z8e+nQ1/fKKPdnpflLAuInMy
moS87GIE0j5pq4SvVrcQ69zJDt9tw9j2pEsiT8NmWoI0OOq6qG4Ds9YH2xvFTZWXDj8xyNdcYZNH
Nv6M1SwKInir7E3l7LNdHsjOMW6SPICr3mykYfGFkHLb+wlrMLI3wvjhrlZ6ZnXd2xt/bV7yrO/3
q0UYmSIK8yfpvpHUV1sd3Lwz926JUdVLvOJs8UyTWVkUXFvLQJ00pqtVlI7WB7ROfwtmtN0LVpc7
WKN7t0f9GF7yxAifvKn3HtkCJ88MpmK3zC0888X3o6rRdaxZZzytaWtsuKlOccZaZ9doc7zzUv27
QG166n1IYxtTGdltldEit46Z+S4H3+L9h7u0buDvzZTzxBD3vK03pAk6trNSeTeykWHL7kPxNlIi
iYmsT5hKxT6by+I9SYoGl9JUH0M2ixuvtuZNOAc+CtX0tAypiAZ7yPhb2FBBVsP90DIQPwBZz251
zguwvuqDGvTyPZkt8zWw1XifTXb1HqYzttigsg6zGoJ7lMLcPlD1trgbhmjIXamkRgchZYpMUTol
TQ6w+2HzXu9HaTfSzFM317YALs3AvRyup65hSv9AohUwLPd4/a4cqOpQ/Sx35FyZ62LX4XN6SKDv
8SmaqUbfc1vllszuASlQ1NaHD9TE28lmAKjYA0ifNk4rD0WIXCX4aMcT3lzvXZeJSWdLPRE8gklE
NY7KsMtu/sH1baB9fRQmmhwrkPzEm3Z+DgaFKFa2eqFRQcjs4puIZqSc+RvYis/WbTA4bGiNdGzH
g1qb3GYgkJm9lV3ZbFsSmd+rRfA1kobd33FlME4O4QsCpZL9GH8S9ZGEKGvnRuv5m+aD4E4mHv/c
H7alnTF2o2lma3CwQBzx65f41dlB6zwyeZdyH61ywQZzndeDPa0IAak72yhWIymmoAxinqnpV+qi
3l2vFpz3QY7PqMU5dDMmHgM8QGA24JODbGloM7j9I2WOXAK2k0rwIeRmeAhLeqXZj1dBzBzXbJ2g
z954lPgWIU3fDMY8xz7Ok0euIOgnFrA6G3YifnMdPqR0xd1w7upHtTIDGu4cLX3Q3VFIZsata1TP
jbaL21Tb91UwX9igYlguSX8xe6JuiNaVdO603M2arDzjKEzPWNKak5cYn7UKmRQNk/Fzk86clKnn
ZpsEju+39DvMMr1nXFxlDtvc896D7Nw43guJYT72bd78ykmv7w0Lw7x2Qv/QLBXA8GB031SANYyl
sV/v6NhOdlcmKxN9Z0ZzkDxpmwE9tXlhuiXIRX5M6yEANrihK6H+HNVYnet+9LeWXPsonMKUfHmi
dpQRlswzoDUDGYbbHMj+TVeMeE9znNRbl0vfjV8txZcvkaIlF7Uv05Xze23a+es61wMdFmP21iJ3
JTGtWJwBGnNDQ3QItgQbrYw6MPNqxRjsrr1L+czdkmcDv+mF9S3HT3kXUkdhQaB082zX4w59gnY5
P8hUqT2Nd90GhaTl/TC0PDjzkv6U10I5YO1d9bis6Pxc9Lz7tbP5YKGetcw8SrrzP9p5/3cv+7e9
LCWmAorF/2sze+UhN//nP/6+mf3Xf/Wflu8AtLEb/Klixbr9992s6/wF/I1gUEia98929m+Wb4s4
EQtYUkbCti1oyf+1nbW8v3zSP/8VQ/L/f7azrv3vnm9PmAITG2kmC7wyjZ//fTlLBjIzaWvRW1Le
3DjdqR+R3c2mvhiWtADrG55xdAi7zvT7NiAS50Fj/faHoPxyePVbkTFR74c3MYf1jwuhSza+lcsk
Hh2hrgELhUAAZDM9eomlRQT1BFoCr/PBiSB5Lz8CCAtJJGoaTXj2WpMuDrwfEd5WDNQLO9J710jN
UzopXUa4KZJrEMhkR5pyT0O869WKCB366mLnliXZdSg8DNSmiDmqZ8NCW5HCeQu9uqy3Ijc3CBPe
+yoGAWS4NZND4Unv52DN3eUKgfwCX4rPaeFOwBchc34GBW2Xa1TmlFI407Ai7SDAcyoEBgHakTqM
oye5EW9KKTtF6iaj8ILjhid1lqOL2Hw9bNlOrvnXQiA5xWCecBZmGQbbvZ6KARtLvYZfwcAFf2PV
GYmNqpqZojRbgs+k5GRiIDCWQ+rTMLahAmkqt3yt6r1prtVtWoX+Edd5+ZRgMnwWrZfLLYYfC5+n
07JTgdAA8CGnpYOzxP9usyF4xxOXLIcw9fW9m3T81oF2hGa8FP5wEhhDbtMp919X31xxJ7FHv1e0
54io75rp03e69ZUmP8W+SWg0XnS8TzoB+sd8XMA7rPmoKFplMBi4+bqly/6lbKdnwwuyn/yLLgYs
O3dfUF+nfDcmK4UBkBTMZdejVxeoY3b+7a9z/6slpI+9G//4YMVQUmofRGoBOXgGm59hSSkXBSq+
1c8ezG8g8TKkDauerOLVtGpHHfMiHG5K7Mgf/uIUp35eki+ZZG0eWQkG2V2FdfPRw/76hUdmppB7
oYkGq9d4h32qviucK+szI9VtgeFYmaoGmn9s2CZ2gqefmo96AwrB/8Z3hNLeDkWSbAl0VgYfviA4
CyoG0qgw1/U+KVHJetOz3uug9T6xX7gYLSctz1S2o7074bWIqcKHt6qGA72boEjgWjYpjKDP7gKM
mxkWHj4NCks+uE+eQ0Mg66KQ6rCVhpStcFq1Qx0JH0muSS5+agb724X7LEnrryQJsLJzWjUEsUeZ
kaiasjbY0041PrI/pKiiCoT6JGYnPcjOM1tWg+sS/6a/2tQhNcWSoMKb8nay0+lH0AcqwV/LT3WQ
Xu/EFauHZbemLFJps6gc+mzadaVYyGnLYK/dWlAJXYyrtcXL5j6S8defuLstNxLdZOOGpr/JQFss
iaAE9nW0mUox/GwCSuZ2WJLW2w4dyjkIcgMIoWLE7J/otRz3WY9POVqWxT7PfttcipKdSwScPPmp
sxVzO/gZ58vmV8Q6BueoiVubUsTG7DDBSdgBLOW6Cb6rA1Bj3kpcd/5GFiVgZoyBDJClEYo0omkq
9WjZ9LIPpln16QRGdZ5IoX/rQbreBiu8he+ZuiHaeHqjcWPieh4Lulz5T7WDxTriH5AnYLTYqv2A
xV1sDtpiTdPzhRBYWZNIlbb7UeTtCI554td4tc4Pu9E3qG2QmbD6g0cdDqKWy6pCrAO1b9g5vNfa
rQQtc7RGxaz15W0CSiDnortWb+zZgPdUOlC/ZUox9qauxgmEC/PdljqVPgfMjaS8HTsj+xHg+hc7
xzIw6Cz9XP5il22oyKpmBrDOLxd/C4eCVcBM89kmFLKnjoUz7zHpg3SJXTynP2edhE/UfuMJJLI5
PCZ1DRtDUy2JQ6a+fibQyWdgAXhQj3yvhMoNlXPgddxQ2e3ngrXzyqrpbcZBMnCE9OLKDMoqCr3N
uXjvphrHtaOb5mZycmo7MV1jAkBDemkLj716WbJSi4Se+qeghX+1TRcX2neKfs+OaRaoLzhRr9MF
jSuSGsieG3oqHbAFQlzjSv+XvTNZiiPL0vCryGrv2PXZfdFlVuBBICQQSChTaOMWKUif59nfpq3X
tes30Iv1dz0ERQQSqJJcZJl1rCSBfLhxx3P+8/1NjL2FF3SL1iATiAQCjhy/EQnRrilyrNAE4fDi
FcBfsMuBJK2shM0cfZiRTmuRHrblrw3B4Yz9ZytLaBI2gatCYWQzHffGaa6mIlsHk07fTuPs3B3H
Ho86jFivY9A2+nHU2Qr+KNTvV+u0a3O+H8B1N1gKWp+xI3Bgb3Td5B4Gmmsox9gKaMlpTMTuo2sq
wngzz8XsktyZLN1TXaLoxPDI6R8VSKLblRjrKH3dOLVmHuKb4s6XDQvux0DEHHaSvMTIDrnuMJ8k
LVQSedyrcdkqrMQrSob2UUOBfLwqWmwcSaE6beHN+YAbTGmP1WsxgGV576YgzNehoUfKSRGO1HTm
TATjBwLChBGYnAaY/YY5vEPVRN1saBfZZ7/n2ORNbYFKBEZ5EB+LqCHGR9DBOtHQhBRHYnJRlxDg
mgkUq41vnzaYFeLONXdWvZ4KPX7flTo5hn4gBnM4iRlNap5qFPLP1Hw5q3iwFWsVGUVvHo5NZdWe
1tYQ7mHAj82qdoc6fw3/SOuOhaWS41IVTvt8XXFP2g+fSFQ8odlQz6S3/H5oRRlFvHOpkEDW8XDQ
4zIEv9Tp0weYpmN3imdU160joEZXdabX/kmW5COHEQDjV3jBqbcGEZQNJZ9iWBd5gKafQqsBks8Q
ZeizW5H+NkDsuPKrwb9RwsDlODiR/TtCRmAP5Cmn6g14IP26TkOSZBl6wGu4GT1hmFZ119DkgX8n
SZxnJ2Mw+u/bpCh7jwxlgx8ytomrQZ0rlZRawnEuoTQNjd6YOwZmFgg6kDfb9kUDkos0ZKn7p9TO
6LknS0WwkanyhEw7suGPgqQSsg8F7QRBwdzC6EV16iO/HouLPDYcCpgHCEeHqtaEpIgQnnxgJWMz
1zaafRH6pknO0PHZUUmTn+G8tEVxNcYpdUtOYKmYCzWYe6FJarFwj3RRjZ5GwdE6h5DRrqys0a0V
KCj7XRr6/ScDevgHA6FM9rZSRvsGqwxk6I1GYAp5jakoRF0SQlZhTVGsdCrsxCoUvfMxhkHBdKDM
Mt4bTsV1T5UQPBL8aggZzqze66ATlbqysXqP1nZkU7SkJwiEHB/pHwqd2WKCofKOvCBx4AGK1tRS
VEMunBO8q+YspPWcgbsAa+/F1pB8sJq47dZll2KeZBKhHrxYUD9IqCAv2Az040y2B88nSj66JiB5
xkJhkbQJs48qjmo6PT1Po9OxzSb1mSL9fUQF5fksjbpuSD0of5SogAd06Hp24LlXCjVKhOtQNJJX
bLScBKCiDn/gVpaugligqNuw3T0aBqT3nl28G3sDasB3ZVjg+9M76rWR6P1WWfxDUeo+4ICTFzA9
C5y3SbgClsPuW4m5iqYSsY9XDnOxdpv091q3njPolhd5SPSTN7FUQwiLZQ2+4977NDr2HEZHsUUJ
xu4jdfYEEBUjfOsoeXMm8IM6Qx+Eb+6DM+hPsBv277r3asSmCkHlhKw07+cTKinaddH02jNc6EcN
iDTYNFVZLQxtkDPubgP6PbaBLuAtTwyN6anUsqzVgjzD0++yB2q1+IbkbdAicw52NA51u7cBTc/C
q+uRrJA7aV2S9wRWlVUhKBCurEacV0aXHYeVTQhz9MdjxMDupd+1xsXTD7JnYf/oOfZGgVGKAdEy
FsRRXWPJSYHB2tblbG1nEMhcdh9ksw7NbEAnOohg9fTdv9fY0vnIoTAcFP0+URxvT3syM7aDnetG
q1YHhqdhpPlMYz8a6bT1w7vsQT/qIiqi2O4i/GOC7tSsrGklgq4/LqJe955+oQVSsjM0wOjj5mRZ
uq1rlK3vQUwKvNbCaDKg92F3iwnMyErAQgqn7DQq9OpzF5qziklKLj77Wj96Q4scGcfwTF0ng2qc
lbFPkZyGUhjVRZycqKQRbjvicJ/LIuFIpLBFx90B70dq3ViinpmpHn0hzIQMa5U9KjFsYDC73TKG
mB8MMTOVpqGbMp2oWCkRBfNPt9J374K03zJt2smy90YylaZDSD5Uzh8aw8vRs+NINOYz88Wjr513
kZOTxqbWZMKST/Fggg+IVU565cSe0iPcDkNhHEeDGp+MvhifAUw/nhBlzQG8HUfYgsO4DEU9uBWH
KibkKEq8qmmDL1g/ZVeUYlXHVWyOHgVVChLp8Ln3k9/FTldjFrZtmD26RraGGWv3puY4YQpIrMGj
4Cu6oBySQw0OvEeZUWpv1JC6I1m5rp+QBPCpwrgv1PjJqdh2TAANFGagINrrJuPclAqRd2Yvyxo9
i8zbW5mIf2YwPe4mvCAeeYar8u1xwNx7wbhjn0XA2LO1vj8msJwcq/Iw+fS7PJ6KaUeXLq/LmhGN
CpHd2xS2yHJOrbHnF+xkvWoo0LpbHMJwYcXSuj3UC0qeqbWjzq+pRc5IrARa1gnrSCpbSyocn34i
uXzuf7G8tk7sklmR+qPdB+pREFXVTD0V9lvGOmDvepmbuDFR020hi+t695k173H3pZRGuCp1LJqg
Rmpv0gpbw1B6myoMx6bisG0RQ3q2UjgnTHacz+PSeUseF+HP0+/5eIByWxOVOneFCSj2BmirmLpQ
EZd4AVGmYzOP59d+1OG5TLxWs57pTMuKuteqGtOBpsm5AOenvVUA/7GJiokq9gpbKonwgscBrVE+
VKawvT5JYdNokQo3qCm08UwVs3tOzy8UjzrBeN3WAAuIVfnrpQ3+P+Owk3Gw5BT1oHM8opcd3W7q
/YTDt/90hy+zD4gMaPgbskIZGrmF+2Iw3G8M6sMEEnfmCzgzdLRv1WAKjBnWGaL/cpC7FKr+K99g
Hzgm+QkSBJKLBkJc+3fyDbrEse0MW5d9jIkUi16Bn45u7Y0i2Ix9W0fIJa22VxBUdpzyAebCppwW
TCUnn3ANFgpRUxBp429LjhZodrLpbbgOh/XCvDTJYX/SJQhzirvGBy0M6uDI6e3pJhB9N3jGaPWp
xzbfusRcjgqIQLVx7rIgjP3eMl1fTgQI0zcjqXiEIYvjV8Lp86O/+IAVKCtR2xDUuaDwkgxmOGu6
dtS1CKXhWUo3sTAqtHOoIOk1gO2zenEdE0bHIbEbpBvZYOVkZ+t56j/2iPzMlYox2MUcD2xnhDQ0
mxdvs3jxOUO6qGNiLu3ParVBGVZIUzSAIFnl6RZWaYqwmhJftpkYIFXg1NB3vWjfkIpJdaBb0m8N
LTm1zdbYaAjiRr99L0Jb2WhVhctzr8ZDTVnzUFKJ0jQX5Vhy6rV7s0rXxNuCxCPKG5zps6Njztu4
1PVYVd+9UXU/NY9FkrVXQ0Ad7HrAG4/8Y54bwMIi9IiNKojXNdTLWqcZWjpqfdUo/h1res6HpUnR
j2ehiTlFFuq466Dx4yvkTPZ52FMHc1hC5dpk/kgNAoXHVeWxMRyuB4zriAIgkUxOIiuLPyF7S51D
vcUD7Tjg6EiRr+qHXyrwY92RqkC5vcyJFrTVSocw0VORalQoJ4lu6xsCCOmnztfgjCNATilriaog
PYxdPaX8StNbXUdjIxIA1LN2PgTs7SlgNhDI8UBKsUnsebbfECn1zbe+CUa9P7KtISO1BIknOUHL
6g/VoSgmqa9yidcRg6dIlyKqMkZsrbbNMUHmolgXFCOba8eOml+TFpDlCpE3fLMxgmptqKVteKnq
osLAkLI2ARagjCNlXvaJp1eIkil6jNPpInZKG/VEpEo6tCFLiCEPatd6Uk45K4RbTkQKckU/752+
Ho4UCG4OoUfQS8g7KhBzPTaDshrCR/ICOVU7Af86GqdqnLbpBYyWdLhicBW/EMQkj1MqIi3O+6Cl
nnIuygLSJxSOyh7EpdKA4/RczVfXhNkRh4S92U1rtacK/5c8smewPYDmEMeJHrf5uO6Gy4oi0c+I
AEXkkcrA2TTxnTH9VM+ug0fcwuWYXMnoMBdeh63NzmdUl2Q9qHEu43UhIPcchhL0YRd9Xn6ibKQ7
C4IUEkhqZNPltPBBQlfhKcGrgQ1BH4uZ9UIToRSdwFyjTPEHkFX1VQXe9U0kESSBJmkkft83grIR
SSlRJbAkyAqVAuymUq/VqFC049ytprdMXMh/odHCPHG3+JM8nbxIQlFiRZ8+1Rr3W40LNKWQ/BRT
olSU1p7GdbMQVjIJWyk0YnKronfTM/ZOoAYgUihv6wlNI9LrvvsFpAce08lYlTMKowIEsaFaxUns
SM4LkWVdXLoL/6WbTRIJSh0CekkqG0YM8naCmwho/V+RXUCRKRaijLAyiA+GADQD2ZEyUWvhz2ST
ZNGIhUujLoyaSOmrX4eFXEP8hEgi/VR/OxQ17hTzwrlRhsmEkbDwbwxFU945QIyto5BjCzhlycoR
AHFek8+CoGOIUt9UC1fHXBg78FTg7UCoF780C4XH0gKIPNnQle/KTHJ6hoXZ4+dBcomjGyQfRhsJ
IIDrw3UvUT+Bb17Xqh6oR/iDShJQKKlApQQEQcaEFTQt3KCkVgLEVgtPyEfWnh51Oio84lkazCFq
iuAP6QuLCMmj/g7lPCKcUcKKgB0gPKk4fL3L6qnehAvXSDeheROTA3dEpglGTS4hSDY0pJgtkH2W
cF49IcAeK2/shZxUQ/3/4C9Q4kLyifM0YZ4mqBFdxVODWEcJJcw434KNF8hxMFaUNJm9j4qqzoiJ
rVkP0NvM6UBmAfVT9z4JCyU5ho0FkS0n2En4fUErjwtmOVyQywgXIfSyRJPTUDqozAn0X9LrcM6p
PokazmALwjldcM5zAtkZg1ogz9gPh1/KVqKfqZtASzV3HUhoZ8FDI38EFe0ASBiwhJ/JPv/n7vW+
bVDlRuyR1eF9Ebz86QVqpPYKsuWeWeJP/dJdNf33L/Rti7j1TvxSdHlb48QYYOn4UHkidR33Z9P7
Cy22jU9dIMUbsu1ucGVUVPCEy0dwqZQ8w90PTP2Acw8f9mvLZ3urB23zo7d/+sUe20k+vs7Os//Y
ONLF3OTn3n/vGg/eX9MP2N2yY3ac7WtyxYfNYFgHSGQcC7DZ9sNxnhb/CzUDQSL3J7vBj5tBdaUV
pmUIGbmWn/1m0A9cNGXSLnP78+2J5S/UDJx6ZBDkZ0bDj5tBs6FgkBkQUoe1fPZ6g3PA/oyYNKfv
5fPXawabCpuXNoMuDoj4kL+gsz8cDKZ6wFmS8jvoIcvnrzcngBrZjtBtVuiJOfGJXqAduJhYMQi0
7/cC/YCgmA0pftsK4t/oBT8xYu5XjyPoijfL4hLdwlS7lSuA9OJ99hfuZuDHF/g2s76++a+/PTjS
L78nl5rtlW+X9Uz+/e87jbTMeg9+eDcLPvzv397v8Z2/+0x3/3gS3dab+ks4LW87fXvK803GEvWP
L/XtwzUPOM3dX7er484zPuj6T1403QTFprm7kGwPwtD0nH+93iPL4vup5ckLZ5u5yPeubEjbzZde
+XATRpu7y8gH3oZjX3rZ49sb2j599T1rZqxRGOEvvcOqKb/+s47a4tWHTd7umDgT15Q44pfeYV1E
X/9798vUNIdp8KUXPpNi3/Dr/+w8tCZI+v0Z16ZF1nUBPejVDW3TpXfXXL5cge3c3T/88X5+trm/
yd3FtldnU3f3D3/86mihdwOTmqnKAPlLm11qrL/+87e93q79GePz4kkz8fuJ748N/vcRX+Xtq9MN
NQr1bp/ZrksvbRh5gzVdkpvQZc6Lut2ZGjUWfxIFf+5d9jvmdoPx0nvIqWDz6ohDVB3lu1/0diP3
4hswal9dbIA53TXI0vG3Z4YXX/zHhiIv7EJXxRdaBtXtw6fWYaj9CbPZP7JNuTte5dnhTxivZ3yF
zas160i0+9zbo8lLW/vHiP0XNvb7H1P2Xnzl/Obr/+a7C7bMRmMqevfNvmje/XENyguf/Kls05OX
/t7O7/6g/Hg/eBcH+N5/293ryt/4kpIE+/v/AQAA//8=</cx:binary>
              </cx:geoCache>
            </cx:geography>
          </cx:layoutPr>
        </cx:series>
      </cx:plotAreaRegion>
    </cx:plotArea>
  </cx:chart>
  <cx:spPr>
    <a:solidFill>
      <a:schemeClr val="bg1">
        <a:lumMod val="95000"/>
      </a:schemeClr>
    </a:solidFill>
  </cx:spPr>
</cx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dk1">
            <a:lumMod val="50000"/>
            <a:lumOff val="50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75478</xdr:rowOff>
    </xdr:from>
    <xdr:to>
      <xdr:col>6</xdr:col>
      <xdr:colOff>299356</xdr:colOff>
      <xdr:row>27</xdr:row>
      <xdr:rowOff>31216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88C4C03-C05D-4137-8868-A39DACFB1A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0</xdr:row>
      <xdr:rowOff>174650</xdr:rowOff>
    </xdr:from>
    <xdr:to>
      <xdr:col>6</xdr:col>
      <xdr:colOff>299356</xdr:colOff>
      <xdr:row>13</xdr:row>
      <xdr:rowOff>130388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A6BFC88-2C37-4BB2-8268-90998A2B23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448235</xdr:colOff>
      <xdr:row>1</xdr:row>
      <xdr:rowOff>0</xdr:rowOff>
    </xdr:from>
    <xdr:to>
      <xdr:col>10</xdr:col>
      <xdr:colOff>1008529</xdr:colOff>
      <xdr:row>27</xdr:row>
      <xdr:rowOff>44824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D4F1DB91-F957-4DFB-9019-556B40B15A2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83475" y="182880"/>
              <a:ext cx="4682714" cy="479970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1</xdr:col>
      <xdr:colOff>1361</xdr:colOff>
      <xdr:row>27</xdr:row>
      <xdr:rowOff>172193</xdr:rowOff>
    </xdr:from>
    <xdr:to>
      <xdr:col>3</xdr:col>
      <xdr:colOff>1115785</xdr:colOff>
      <xdr:row>37</xdr:row>
      <xdr:rowOff>163287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7980941-7CBE-477A-9B82-228DA7E6D3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1259280</xdr:colOff>
      <xdr:row>27</xdr:row>
      <xdr:rowOff>172193</xdr:rowOff>
    </xdr:from>
    <xdr:to>
      <xdr:col>6</xdr:col>
      <xdr:colOff>1061358</xdr:colOff>
      <xdr:row>37</xdr:row>
      <xdr:rowOff>163287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75757F21-4FB1-4D76-9511-D0DFF32971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1197429</xdr:colOff>
      <xdr:row>27</xdr:row>
      <xdr:rowOff>172193</xdr:rowOff>
    </xdr:from>
    <xdr:to>
      <xdr:col>10</xdr:col>
      <xdr:colOff>979714</xdr:colOff>
      <xdr:row>37</xdr:row>
      <xdr:rowOff>163287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E53489FA-9FAC-4DFD-8853-06A7FE3C50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38101</xdr:colOff>
      <xdr:row>1</xdr:row>
      <xdr:rowOff>95250</xdr:rowOff>
    </xdr:from>
    <xdr:to>
      <xdr:col>10</xdr:col>
      <xdr:colOff>489857</xdr:colOff>
      <xdr:row>19</xdr:row>
      <xdr:rowOff>95250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3566713-021E-4182-AB15-D2123FC89B6C}"/>
            </a:ext>
          </a:extLst>
        </xdr:cNvPr>
        <xdr:cNvSpPr txBox="1"/>
      </xdr:nvSpPr>
      <xdr:spPr>
        <a:xfrm>
          <a:off x="650422" y="285750"/>
          <a:ext cx="5962649" cy="3429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-- (Query 1) Receita, leads, conversão e ticket médio mês a mês</a:t>
          </a:r>
        </a:p>
        <a:p>
          <a:r>
            <a:rPr lang="en-US" sz="1100" b="1"/>
            <a:t>-- Colunas: mês, leads (#), vendas (#), receita (k, R$), conversão (%), ticket médio (k, R$)</a:t>
          </a:r>
        </a:p>
        <a:p>
          <a:r>
            <a:rPr lang="en-US" sz="1100" b="0"/>
            <a:t>with leads as (	select		date_trunc('month', visit_page_date)::date as visit_page_month,		count (*) as visit_page_count	from sales.funnel	group by visit_page_month	order by visit_page_month	),	payments as (		select 			date_trunc('month', fun.paid_date):: date as paid_month,			count(fun.paid_date) as paid_count,			sum(pro.price * (1+fun.discount)) as receita		from sales.funnel as fun		left join sales.products as pro			on fun.product_id = pro.product_id		where fun.paid_date is not null		group by paid_month		order by paid_month	)select 	leads.visit_page_month as "mês",	leads.visit_page_count as "leads (#)",	payments.paid_count as "vendas (#)",	(payments.receita)/1000 as "receita (k, R$)",	(payments.paid_count::float/leads.visit_page_count::float) as "conversão (%)",	(payments.receita/payments.paid_count/1000) as "ticket médio (k, R$)"	from leadsleft join payments	on leads.visit_page_month = payments.paid_month</a:t>
          </a:r>
        </a:p>
      </xdr:txBody>
    </xdr:sp>
    <xdr:clientData/>
  </xdr:twoCellAnchor>
  <xdr:twoCellAnchor>
    <xdr:from>
      <xdr:col>11</xdr:col>
      <xdr:colOff>57150</xdr:colOff>
      <xdr:row>1</xdr:row>
      <xdr:rowOff>123825</xdr:rowOff>
    </xdr:from>
    <xdr:to>
      <xdr:col>17</xdr:col>
      <xdr:colOff>285751</xdr:colOff>
      <xdr:row>19</xdr:row>
      <xdr:rowOff>114300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553070A-26F3-425E-B1E3-F88CBB32060B}"/>
            </a:ext>
          </a:extLst>
        </xdr:cNvPr>
        <xdr:cNvSpPr txBox="1"/>
      </xdr:nvSpPr>
      <xdr:spPr>
        <a:xfrm>
          <a:off x="6792686" y="314325"/>
          <a:ext cx="3902529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-- (Query 2) Estados que mais venderam</a:t>
          </a:r>
        </a:p>
        <a:p>
          <a:r>
            <a:rPr lang="en-US" sz="1100" b="1"/>
            <a:t>-- Colunas: país, estado, vendas (#)</a:t>
          </a:r>
        </a:p>
        <a:p>
          <a:r>
            <a:rPr lang="en-US" sz="1100" b="0"/>
            <a:t>select	'Brasil' as país,	cus.state as estado,	count(fun.paid_date) as "vendas (#)"from sales.funnel as funleft join sales.customers as cus	on fun.customer_id = cus.customer_idwhere paid_date between '2021-08-01' and '2021-08-31'group by país, estadoorder by "vendas (#)" desclimit 5</a:t>
          </a:r>
        </a:p>
      </xdr:txBody>
    </xdr:sp>
    <xdr:clientData/>
  </xdr:twoCellAnchor>
  <xdr:twoCellAnchor>
    <xdr:from>
      <xdr:col>17</xdr:col>
      <xdr:colOff>478972</xdr:colOff>
      <xdr:row>1</xdr:row>
      <xdr:rowOff>123825</xdr:rowOff>
    </xdr:from>
    <xdr:to>
      <xdr:col>24</xdr:col>
      <xdr:colOff>95251</xdr:colOff>
      <xdr:row>19</xdr:row>
      <xdr:rowOff>114300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1A4D350-E21D-4F46-82A0-236CC41D5F54}"/>
            </a:ext>
          </a:extLst>
        </xdr:cNvPr>
        <xdr:cNvSpPr txBox="1"/>
      </xdr:nvSpPr>
      <xdr:spPr>
        <a:xfrm>
          <a:off x="10888436" y="314325"/>
          <a:ext cx="3902529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-- (Query 3) Marcas que mais venderam no mês</a:t>
          </a:r>
        </a:p>
        <a:p>
          <a:r>
            <a:rPr lang="en-US" sz="1100" b="1"/>
            <a:t>-- Colunas: marca, vendas (#)</a:t>
          </a:r>
        </a:p>
        <a:p>
          <a:r>
            <a:rPr lang="en-US" sz="1100" b="0"/>
            <a:t>select	pro.brand as marca,	count (fun.paid_date) as "vendas (#)"from sales.funnel as funleft join sales.products as pro	on fun.product_id =  pro.product_idwhere paid_date between '2021-08-01' and '2021-08-31'group by marcaorder by "vendas (#)" desclimit 5</a:t>
          </a:r>
        </a:p>
      </xdr:txBody>
    </xdr:sp>
    <xdr:clientData/>
  </xdr:twoCellAnchor>
  <xdr:twoCellAnchor>
    <xdr:from>
      <xdr:col>24</xdr:col>
      <xdr:colOff>274865</xdr:colOff>
      <xdr:row>1</xdr:row>
      <xdr:rowOff>123825</xdr:rowOff>
    </xdr:from>
    <xdr:to>
      <xdr:col>30</xdr:col>
      <xdr:colOff>503465</xdr:colOff>
      <xdr:row>19</xdr:row>
      <xdr:rowOff>114300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B0CCFB6-0FFE-4D07-A857-E2431D34FBCC}"/>
            </a:ext>
          </a:extLst>
        </xdr:cNvPr>
        <xdr:cNvSpPr txBox="1"/>
      </xdr:nvSpPr>
      <xdr:spPr>
        <a:xfrm>
          <a:off x="14970579" y="314325"/>
          <a:ext cx="3902529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-- (Query 4) Lojas que mais venderam</a:t>
          </a:r>
        </a:p>
        <a:p>
          <a:r>
            <a:rPr lang="en-US" sz="1100" b="1"/>
            <a:t>-- Colunas: loja, vendas (#)</a:t>
          </a:r>
        </a:p>
        <a:p>
          <a:r>
            <a:rPr lang="en-US" sz="1100" b="0"/>
            <a:t>select	sto.store_name as loja,	count (fun.paid_date) as "vendas (#)"from sales.funnel as funleft join sales.stores as sto	on fun.store_id =  sto.store_idwhere paid_date between '2021-08-01' and '2021-08-31'group by lojaorder by "vendas (#)" desclimit 5</a:t>
          </a:r>
        </a:p>
      </xdr:txBody>
    </xdr:sp>
    <xdr:clientData/>
  </xdr:twoCellAnchor>
  <xdr:twoCellAnchor>
    <xdr:from>
      <xdr:col>31</xdr:col>
      <xdr:colOff>84365</xdr:colOff>
      <xdr:row>1</xdr:row>
      <xdr:rowOff>123825</xdr:rowOff>
    </xdr:from>
    <xdr:to>
      <xdr:col>37</xdr:col>
      <xdr:colOff>312965</xdr:colOff>
      <xdr:row>19</xdr:row>
      <xdr:rowOff>114300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E97282A-12D0-45EB-92E3-3A39CF6A421C}"/>
            </a:ext>
          </a:extLst>
        </xdr:cNvPr>
        <xdr:cNvSpPr txBox="1"/>
      </xdr:nvSpPr>
      <xdr:spPr>
        <a:xfrm>
          <a:off x="19066329" y="314325"/>
          <a:ext cx="3902529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5) Dias da semana com maior número de visitas ao site</a:t>
          </a:r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dia_semana, dia da semana, visitas (#)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	extract('dow' from visit_page_date) as dia_semana,	case 		when extract('dow' from visit_page_date)=0 then 'domingo'		when extract('dow' from visit_page_date)=1 then 'segunda'		when extract('dow' from visit_page_date)=2 then 'terça'		when extract('dow' from visit_page_date)=3 then 'quarta'		when extract('dow' from visit_page_date)=4 then 'quinta'		when extract('dow' from visit_page_date)=5 then 'sexta'		when extract('dow' from visit_page_date)=6 then 'sábado'		else null end as "dia da semana",	count(*) as "visitas (#)"from sales.funnel where visit_page_date between '2021-08-01' and '2021-08-31'group by dia_semanaorder by dia_semana</a:t>
          </a: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C916E-A1E2-4185-80B4-F277BBE3ABDD}">
  <sheetPr>
    <tabColor rgb="FF1C819E"/>
    <pageSetUpPr fitToPage="1"/>
  </sheetPr>
  <dimension ref="B1:G1"/>
  <sheetViews>
    <sheetView showGridLines="0" tabSelected="1" zoomScale="70" zoomScaleNormal="70" workbookViewId="0">
      <selection activeCell="M24" sqref="M24"/>
    </sheetView>
  </sheetViews>
  <sheetFormatPr defaultRowHeight="14.4" x14ac:dyDescent="0.3"/>
  <cols>
    <col min="1" max="1" width="6.33203125" customWidth="1"/>
    <col min="2" max="2" width="21" style="9" customWidth="1"/>
    <col min="3" max="4" width="21" customWidth="1"/>
    <col min="5" max="5" width="21" style="7" customWidth="1"/>
    <col min="6" max="6" width="21" style="3" customWidth="1"/>
    <col min="7" max="7" width="21" style="5" customWidth="1"/>
    <col min="9" max="9" width="14.33203125" customWidth="1"/>
    <col min="10" max="11" width="15.88671875" customWidth="1"/>
    <col min="13" max="13" width="20" customWidth="1"/>
    <col min="14" max="14" width="11.109375" customWidth="1"/>
    <col min="16" max="16" width="20" customWidth="1"/>
    <col min="17" max="17" width="11.109375" customWidth="1"/>
    <col min="19" max="19" width="12.5546875" bestFit="1" customWidth="1"/>
    <col min="20" max="20" width="15.109375" bestFit="1" customWidth="1"/>
    <col min="21" max="21" width="10" bestFit="1" customWidth="1"/>
  </cols>
  <sheetData/>
  <pageMargins left="0.7" right="0.7" top="0.75" bottom="0.75" header="0.3" footer="0.3"/>
  <pageSetup paperSize="5"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32F22-2A99-4596-8E95-DC3DA04C550C}">
  <sheetPr>
    <tabColor rgb="FFFFBE00"/>
  </sheetPr>
  <dimension ref="B2:U30"/>
  <sheetViews>
    <sheetView showGridLines="0" topLeftCell="O1" zoomScale="80" zoomScaleNormal="85" workbookViewId="0">
      <selection activeCell="S4" sqref="S4:U10"/>
    </sheetView>
  </sheetViews>
  <sheetFormatPr defaultRowHeight="14.4" x14ac:dyDescent="0.3"/>
  <cols>
    <col min="2" max="2" width="12" customWidth="1"/>
    <col min="3" max="7" width="10.6640625" customWidth="1"/>
    <col min="8" max="8" width="7.6640625" customWidth="1"/>
    <col min="9" max="11" width="10.6640625" customWidth="1"/>
    <col min="12" max="12" width="7.6640625" customWidth="1"/>
    <col min="13" max="14" width="10.6640625" customWidth="1"/>
    <col min="16" max="16" width="36" bestFit="1" customWidth="1"/>
    <col min="17" max="17" width="10.6640625" customWidth="1"/>
    <col min="19" max="21" width="10.6640625" customWidth="1"/>
  </cols>
  <sheetData>
    <row r="2" spans="2:21" x14ac:dyDescent="0.3">
      <c r="B2" s="12" t="s">
        <v>13</v>
      </c>
      <c r="I2" s="12" t="s">
        <v>14</v>
      </c>
      <c r="M2" s="12" t="s">
        <v>15</v>
      </c>
      <c r="P2" s="12" t="s">
        <v>16</v>
      </c>
      <c r="S2" s="12" t="s">
        <v>17</v>
      </c>
    </row>
    <row r="3" spans="2:21" x14ac:dyDescent="0.3">
      <c r="B3" s="8" t="s">
        <v>0</v>
      </c>
      <c r="C3" s="1" t="s">
        <v>1</v>
      </c>
      <c r="D3" s="1" t="s">
        <v>2</v>
      </c>
      <c r="E3" s="6" t="s">
        <v>3</v>
      </c>
      <c r="F3" s="2" t="s">
        <v>4</v>
      </c>
      <c r="G3" s="4" t="s">
        <v>5</v>
      </c>
      <c r="I3" s="1" t="s">
        <v>7</v>
      </c>
      <c r="J3" s="1" t="s">
        <v>6</v>
      </c>
      <c r="K3" s="1" t="s">
        <v>2</v>
      </c>
      <c r="M3" s="1" t="s">
        <v>8</v>
      </c>
      <c r="N3" s="1" t="s">
        <v>2</v>
      </c>
      <c r="P3" s="1" t="s">
        <v>9</v>
      </c>
      <c r="Q3" s="1" t="s">
        <v>2</v>
      </c>
      <c r="S3" s="1" t="s">
        <v>10</v>
      </c>
      <c r="T3" s="1" t="s">
        <v>11</v>
      </c>
      <c r="U3" s="1" t="s">
        <v>12</v>
      </c>
    </row>
    <row r="4" spans="2:21" x14ac:dyDescent="0.3">
      <c r="B4" s="8">
        <v>44075</v>
      </c>
      <c r="C4" s="6">
        <v>26</v>
      </c>
      <c r="D4" s="6">
        <v>5</v>
      </c>
      <c r="E4" s="6">
        <v>259</v>
      </c>
      <c r="F4" s="2">
        <v>0.19</v>
      </c>
      <c r="G4" s="4">
        <v>51.9</v>
      </c>
      <c r="I4" s="1" t="s">
        <v>18</v>
      </c>
      <c r="J4" s="1" t="s">
        <v>19</v>
      </c>
      <c r="K4" s="1">
        <v>734</v>
      </c>
      <c r="M4" s="1" t="s">
        <v>24</v>
      </c>
      <c r="N4" s="1">
        <v>248</v>
      </c>
      <c r="P4" s="1" t="s">
        <v>29</v>
      </c>
      <c r="Q4" s="1">
        <v>18</v>
      </c>
      <c r="S4" s="1">
        <v>0</v>
      </c>
      <c r="T4" s="1" t="s">
        <v>34</v>
      </c>
      <c r="U4" s="1">
        <v>67</v>
      </c>
    </row>
    <row r="5" spans="2:21" x14ac:dyDescent="0.3">
      <c r="B5" s="8">
        <v>44105</v>
      </c>
      <c r="C5" s="6">
        <v>931</v>
      </c>
      <c r="D5" s="6">
        <v>35</v>
      </c>
      <c r="E5" s="6">
        <v>1676</v>
      </c>
      <c r="F5" s="2">
        <v>0.04</v>
      </c>
      <c r="G5" s="4">
        <v>47.9</v>
      </c>
      <c r="I5" s="1" t="s">
        <v>18</v>
      </c>
      <c r="J5" s="1" t="s">
        <v>20</v>
      </c>
      <c r="K5" s="1">
        <v>142</v>
      </c>
      <c r="M5" s="1" t="s">
        <v>25</v>
      </c>
      <c r="N5" s="1">
        <v>237</v>
      </c>
      <c r="P5" s="1" t="s">
        <v>30</v>
      </c>
      <c r="Q5" s="1">
        <v>15</v>
      </c>
      <c r="S5" s="1">
        <v>1</v>
      </c>
      <c r="T5" s="1" t="s">
        <v>35</v>
      </c>
      <c r="U5" s="1">
        <v>1301</v>
      </c>
    </row>
    <row r="6" spans="2:21" x14ac:dyDescent="0.3">
      <c r="B6" s="8">
        <v>44136</v>
      </c>
      <c r="C6" s="6">
        <v>1207</v>
      </c>
      <c r="D6" s="6">
        <v>44</v>
      </c>
      <c r="E6" s="6">
        <v>2278</v>
      </c>
      <c r="F6" s="2">
        <v>0.04</v>
      </c>
      <c r="G6" s="4">
        <v>51.8</v>
      </c>
      <c r="I6" s="1" t="s">
        <v>18</v>
      </c>
      <c r="J6" s="1" t="s">
        <v>21</v>
      </c>
      <c r="K6" s="1">
        <v>110</v>
      </c>
      <c r="M6" s="1" t="s">
        <v>26</v>
      </c>
      <c r="N6" s="1">
        <v>193</v>
      </c>
      <c r="P6" s="1" t="s">
        <v>31</v>
      </c>
      <c r="Q6" s="1">
        <v>10</v>
      </c>
      <c r="S6" s="1">
        <v>2</v>
      </c>
      <c r="T6" s="1" t="s">
        <v>36</v>
      </c>
      <c r="U6" s="1">
        <v>1238</v>
      </c>
    </row>
    <row r="7" spans="2:21" x14ac:dyDescent="0.3">
      <c r="B7" s="8">
        <v>44166</v>
      </c>
      <c r="C7" s="6">
        <v>1008</v>
      </c>
      <c r="D7" s="6">
        <v>33</v>
      </c>
      <c r="E7" s="6">
        <v>2602</v>
      </c>
      <c r="F7" s="2">
        <v>0.03</v>
      </c>
      <c r="G7" s="4">
        <v>78.900000000000006</v>
      </c>
      <c r="I7" s="1" t="s">
        <v>18</v>
      </c>
      <c r="J7" s="1" t="s">
        <v>22</v>
      </c>
      <c r="K7" s="1">
        <v>98</v>
      </c>
      <c r="M7" s="1" t="s">
        <v>27</v>
      </c>
      <c r="N7" s="1">
        <v>136</v>
      </c>
      <c r="P7" s="1" t="s">
        <v>32</v>
      </c>
      <c r="Q7" s="1">
        <v>10</v>
      </c>
      <c r="S7" s="1">
        <v>3</v>
      </c>
      <c r="T7" s="1" t="s">
        <v>37</v>
      </c>
      <c r="U7" s="1">
        <v>1038</v>
      </c>
    </row>
    <row r="8" spans="2:21" x14ac:dyDescent="0.3">
      <c r="B8" s="8">
        <v>44197</v>
      </c>
      <c r="C8" s="6">
        <v>1058</v>
      </c>
      <c r="D8" s="6">
        <v>32</v>
      </c>
      <c r="E8" s="6">
        <v>2297</v>
      </c>
      <c r="F8" s="2">
        <v>0.03</v>
      </c>
      <c r="G8" s="4">
        <v>71.8</v>
      </c>
      <c r="I8" s="1" t="s">
        <v>18</v>
      </c>
      <c r="J8" s="1" t="s">
        <v>23</v>
      </c>
      <c r="K8" s="1">
        <v>66</v>
      </c>
      <c r="M8" s="1" t="s">
        <v>28</v>
      </c>
      <c r="N8" s="1">
        <v>108</v>
      </c>
      <c r="P8" s="1" t="s">
        <v>33</v>
      </c>
      <c r="Q8" s="1">
        <v>10</v>
      </c>
      <c r="S8" s="1">
        <v>4</v>
      </c>
      <c r="T8" s="1" t="s">
        <v>38</v>
      </c>
      <c r="U8" s="1">
        <v>1076</v>
      </c>
    </row>
    <row r="9" spans="2:21" x14ac:dyDescent="0.3">
      <c r="B9" s="8">
        <v>44228</v>
      </c>
      <c r="C9" s="6">
        <v>1300</v>
      </c>
      <c r="D9" s="6">
        <v>68</v>
      </c>
      <c r="E9" s="6">
        <v>3631</v>
      </c>
      <c r="F9" s="2">
        <v>0.05</v>
      </c>
      <c r="G9" s="4">
        <v>53.4</v>
      </c>
      <c r="S9" s="1">
        <v>5</v>
      </c>
      <c r="T9" s="1" t="s">
        <v>39</v>
      </c>
      <c r="U9" s="1">
        <v>956</v>
      </c>
    </row>
    <row r="10" spans="2:21" x14ac:dyDescent="0.3">
      <c r="B10" s="8">
        <v>44256</v>
      </c>
      <c r="C10" s="6">
        <v>1932</v>
      </c>
      <c r="D10" s="6">
        <v>119</v>
      </c>
      <c r="E10" s="6">
        <v>7911</v>
      </c>
      <c r="F10" s="2">
        <v>0.06</v>
      </c>
      <c r="G10" s="4">
        <v>66.5</v>
      </c>
      <c r="S10" s="1">
        <v>6</v>
      </c>
      <c r="T10" s="1" t="s">
        <v>40</v>
      </c>
      <c r="U10" s="1">
        <v>677</v>
      </c>
    </row>
    <row r="11" spans="2:21" x14ac:dyDescent="0.3">
      <c r="B11" s="8">
        <v>44287</v>
      </c>
      <c r="C11" s="6">
        <v>2376</v>
      </c>
      <c r="D11" s="6">
        <v>142</v>
      </c>
      <c r="E11" s="6">
        <v>7477</v>
      </c>
      <c r="F11" s="2">
        <v>0.06</v>
      </c>
      <c r="G11" s="4">
        <v>52.7</v>
      </c>
    </row>
    <row r="12" spans="2:21" x14ac:dyDescent="0.3">
      <c r="B12" s="8">
        <v>44317</v>
      </c>
      <c r="C12" s="6">
        <v>3819</v>
      </c>
      <c r="D12" s="6">
        <v>394</v>
      </c>
      <c r="E12" s="6">
        <v>21508</v>
      </c>
      <c r="F12" s="2">
        <v>0.1</v>
      </c>
      <c r="G12" s="4">
        <v>54.6</v>
      </c>
    </row>
    <row r="13" spans="2:21" x14ac:dyDescent="0.3">
      <c r="B13" s="8">
        <v>44348</v>
      </c>
      <c r="C13" s="6">
        <v>4440</v>
      </c>
      <c r="D13" s="6">
        <v>589</v>
      </c>
      <c r="E13" s="6">
        <v>33179</v>
      </c>
      <c r="F13" s="2">
        <v>0.13</v>
      </c>
      <c r="G13" s="4">
        <v>56.3</v>
      </c>
    </row>
    <row r="14" spans="2:21" x14ac:dyDescent="0.3">
      <c r="B14" s="8">
        <v>44378</v>
      </c>
      <c r="C14" s="6">
        <v>6130</v>
      </c>
      <c r="D14" s="6">
        <v>1073</v>
      </c>
      <c r="E14" s="6">
        <v>58987</v>
      </c>
      <c r="F14" s="2">
        <v>0.18</v>
      </c>
      <c r="G14" s="4">
        <v>55</v>
      </c>
    </row>
    <row r="15" spans="2:21" x14ac:dyDescent="0.3">
      <c r="B15" s="8">
        <v>44409</v>
      </c>
      <c r="C15" s="6">
        <v>6353</v>
      </c>
      <c r="D15" s="6">
        <v>1254</v>
      </c>
      <c r="E15" s="6">
        <v>68274</v>
      </c>
      <c r="F15" s="2">
        <v>0.2</v>
      </c>
      <c r="G15" s="4">
        <v>54.4</v>
      </c>
    </row>
    <row r="29" spans="3:14" x14ac:dyDescent="0.3">
      <c r="C29" s="10">
        <v>44075</v>
      </c>
      <c r="D29" s="10">
        <f>EDATE(C29,1)</f>
        <v>44105</v>
      </c>
      <c r="E29" s="10">
        <f t="shared" ref="E29:L29" si="0">EDATE(D29,1)</f>
        <v>44136</v>
      </c>
      <c r="F29" s="10">
        <f t="shared" si="0"/>
        <v>44166</v>
      </c>
      <c r="G29" s="10">
        <f t="shared" si="0"/>
        <v>44197</v>
      </c>
      <c r="H29" s="10">
        <f t="shared" si="0"/>
        <v>44228</v>
      </c>
      <c r="I29" s="10">
        <f t="shared" si="0"/>
        <v>44256</v>
      </c>
      <c r="J29" s="10">
        <f t="shared" si="0"/>
        <v>44287</v>
      </c>
      <c r="K29" s="10">
        <f t="shared" si="0"/>
        <v>44317</v>
      </c>
      <c r="L29" s="10">
        <f t="shared" si="0"/>
        <v>44348</v>
      </c>
      <c r="M29" s="10">
        <f>EDATE(L29,1)</f>
        <v>44378</v>
      </c>
      <c r="N29" s="10">
        <f>EDATE(M29,1)</f>
        <v>44409</v>
      </c>
    </row>
    <row r="30" spans="3:14" x14ac:dyDescent="0.3"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3CE6C-C51E-4BD1-9444-EF514F8C452A}">
  <sheetPr>
    <tabColor rgb="FF404040"/>
  </sheetPr>
  <dimension ref="A1"/>
  <sheetViews>
    <sheetView showGridLines="0" zoomScale="70" zoomScaleNormal="70" workbookViewId="0">
      <selection activeCell="J26" sqref="J26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Dashboard</vt:lpstr>
      <vt:lpstr>Resultados</vt:lpstr>
      <vt:lpstr>Queries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Midori Toyota</dc:creator>
  <cp:lastModifiedBy>Manuela Patusco Betta</cp:lastModifiedBy>
  <cp:lastPrinted>2021-12-25T02:20:17Z</cp:lastPrinted>
  <dcterms:created xsi:type="dcterms:W3CDTF">2015-06-05T18:17:20Z</dcterms:created>
  <dcterms:modified xsi:type="dcterms:W3CDTF">2026-08-24T14:35:54Z</dcterms:modified>
</cp:coreProperties>
</file>